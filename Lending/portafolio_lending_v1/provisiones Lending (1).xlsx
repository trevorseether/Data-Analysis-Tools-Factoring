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seph Montoya\Desktop\"/>
    </mc:Choice>
  </mc:AlternateContent>
  <xr:revisionPtr revIDLastSave="0" documentId="8_{2D25F2E9-660A-4439-ACBC-35411607CE87}" xr6:coauthVersionLast="47" xr6:coauthVersionMax="47" xr10:uidLastSave="{00000000-0000-0000-0000-000000000000}"/>
  <bookViews>
    <workbookView xWindow="-108" yWindow="-108" windowWidth="23256" windowHeight="12456" activeTab="1" xr2:uid="{A4EADED8-C32E-4203-B85F-B20EC7D037CC}"/>
  </bookViews>
  <sheets>
    <sheet name="portafolio_lending" sheetId="2" r:id="rId1"/>
    <sheet name="Hoja1" sheetId="1" r:id="rId2"/>
  </sheets>
  <definedNames>
    <definedName name="DatosExternos_1" localSheetId="0" hidden="1">portafolio_lending!$A$1:$CF$27</definedName>
    <definedName name="NativeTimeline_Fecha_corte">#N/A</definedName>
  </definedNames>
  <calcPr calcId="191029"/>
  <pivotCaches>
    <pivotCache cacheId="12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E45" i="1"/>
  <c r="F45" i="1"/>
  <c r="C45" i="1"/>
  <c r="D28" i="1"/>
  <c r="D34" i="1" s="1"/>
  <c r="E28" i="1"/>
  <c r="E34" i="1" s="1"/>
  <c r="F28" i="1"/>
  <c r="F30" i="1" s="1"/>
  <c r="C28" i="1"/>
  <c r="C32" i="1" s="1"/>
  <c r="D12" i="1"/>
  <c r="D20" i="1" s="1"/>
  <c r="E12" i="1"/>
  <c r="E16" i="1" s="1"/>
  <c r="F12" i="1"/>
  <c r="F16" i="1" s="1"/>
  <c r="C12" i="1"/>
  <c r="C13" i="1" s="1"/>
  <c r="E29" i="1" l="1"/>
  <c r="D29" i="1"/>
  <c r="D39" i="1"/>
  <c r="D37" i="1"/>
  <c r="C14" i="1"/>
  <c r="C29" i="1"/>
  <c r="F29" i="1"/>
  <c r="D36" i="1"/>
  <c r="D31" i="1"/>
  <c r="E23" i="1"/>
  <c r="E14" i="1"/>
  <c r="F36" i="1"/>
  <c r="E36" i="1"/>
  <c r="E33" i="1"/>
  <c r="D33" i="1"/>
  <c r="E32" i="1"/>
  <c r="D32" i="1"/>
  <c r="F35" i="1"/>
  <c r="F33" i="1"/>
  <c r="F39" i="1"/>
  <c r="E39" i="1"/>
  <c r="F13" i="1"/>
  <c r="E13" i="1"/>
  <c r="C37" i="1"/>
  <c r="F22" i="1"/>
  <c r="F21" i="1"/>
  <c r="E19" i="1"/>
  <c r="C33" i="1"/>
  <c r="C19" i="1"/>
  <c r="F32" i="1"/>
  <c r="F18" i="1"/>
  <c r="F20" i="1"/>
  <c r="F19" i="1"/>
  <c r="F38" i="1"/>
  <c r="E18" i="1"/>
  <c r="F37" i="1"/>
  <c r="F17" i="1"/>
  <c r="E37" i="1"/>
  <c r="E31" i="1"/>
  <c r="F15" i="1"/>
  <c r="F14" i="1"/>
  <c r="C36" i="1"/>
  <c r="E35" i="1"/>
  <c r="C31" i="1"/>
  <c r="C21" i="1"/>
  <c r="C16" i="1"/>
  <c r="D35" i="1"/>
  <c r="E30" i="1"/>
  <c r="E38" i="1"/>
  <c r="C35" i="1"/>
  <c r="D30" i="1"/>
  <c r="E20" i="1"/>
  <c r="E15" i="1"/>
  <c r="D38" i="1"/>
  <c r="C30" i="1"/>
  <c r="C20" i="1"/>
  <c r="C15" i="1"/>
  <c r="C23" i="1"/>
  <c r="C18" i="1"/>
  <c r="E22" i="1"/>
  <c r="C22" i="1"/>
  <c r="E17" i="1"/>
  <c r="C17" i="1"/>
  <c r="E21" i="1"/>
  <c r="C39" i="1"/>
  <c r="C38" i="1"/>
  <c r="C34" i="1"/>
  <c r="F31" i="1"/>
  <c r="F34" i="1"/>
  <c r="D23" i="1"/>
  <c r="D16" i="1"/>
  <c r="D19" i="1"/>
  <c r="D22" i="1"/>
  <c r="D15" i="1"/>
  <c r="D18" i="1"/>
  <c r="D21" i="1"/>
  <c r="D14" i="1"/>
  <c r="D17" i="1"/>
  <c r="D13" i="1"/>
  <c r="F23" i="1"/>
  <c r="E40" i="1" l="1"/>
  <c r="E48" i="1" s="1"/>
  <c r="C24" i="1"/>
  <c r="E24" i="1"/>
  <c r="F24" i="1"/>
  <c r="D24" i="1"/>
  <c r="C40" i="1"/>
  <c r="F40" i="1"/>
  <c r="F48" i="1" s="1"/>
  <c r="D40" i="1"/>
  <c r="D46" i="1" s="1"/>
  <c r="D49" i="1" s="1"/>
  <c r="D48" i="1" l="1"/>
  <c r="D53" i="1" s="1"/>
  <c r="F46" i="1"/>
  <c r="F49" i="1" s="1"/>
  <c r="E46" i="1"/>
  <c r="E49" i="1" s="1"/>
  <c r="E52" i="1"/>
  <c r="D52" i="1"/>
  <c r="F52" i="1"/>
  <c r="E53" i="1"/>
  <c r="F53" i="1"/>
  <c r="C52" i="1"/>
  <c r="C48" i="1"/>
  <c r="C53" i="1" s="1"/>
  <c r="C46" i="1"/>
  <c r="C49" i="1" s="1"/>
  <c r="F50" i="1" l="1"/>
  <c r="D50" i="1"/>
  <c r="E50" i="1"/>
  <c r="C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Ruth Velarde</author>
  </authors>
  <commentList>
    <comment ref="B46" authorId="0" shapeId="0" xr:uid="{1A1FFCF0-733B-48E2-BA2B-C51D754687D7}">
      <text>
        <r>
          <rPr>
            <b/>
            <sz val="9"/>
            <color indexed="81"/>
            <rFont val="Tahoma"/>
            <family val="2"/>
          </rPr>
          <t>Ruth Velarde:</t>
        </r>
        <r>
          <rPr>
            <sz val="9"/>
            <color indexed="81"/>
            <rFont val="Tahoma"/>
            <family val="2"/>
          </rPr>
          <t xml:space="preserve">
Delta de Provisiones</t>
        </r>
      </text>
    </comment>
    <comment ref="B52" authorId="0" shapeId="0" xr:uid="{6BC7BFDC-9D81-4194-9758-4B52DB88FD73}">
      <text>
        <r>
          <rPr>
            <b/>
            <sz val="9"/>
            <color indexed="81"/>
            <rFont val="Tahoma"/>
            <family val="2"/>
          </rPr>
          <t>Ruth Velarde:</t>
        </r>
        <r>
          <rPr>
            <sz val="9"/>
            <color indexed="81"/>
            <rFont val="Tahoma"/>
            <family val="2"/>
          </rPr>
          <t xml:space="preserve">
Índice de provisiones</t>
        </r>
      </text>
    </comment>
    <comment ref="B53" authorId="0" shapeId="0" xr:uid="{B943D6CD-E059-4D97-B866-4AFB400CCDAD}">
      <text>
        <r>
          <rPr>
            <b/>
            <sz val="9"/>
            <color indexed="81"/>
            <rFont val="Tahoma"/>
            <family val="2"/>
          </rPr>
          <t>Ruth Velarde:</t>
        </r>
        <r>
          <rPr>
            <sz val="9"/>
            <color indexed="81"/>
            <rFont val="Tahoma"/>
            <family val="2"/>
          </rPr>
          <t xml:space="preserve">
Provisiones + Castigos</t>
        </r>
      </text>
    </comment>
    <comment ref="B58" authorId="0" shapeId="0" xr:uid="{BFF9D4E0-01D2-4AE6-8B10-108295012CA3}">
      <text>
        <r>
          <rPr>
            <b/>
            <sz val="9"/>
            <color indexed="81"/>
            <rFont val="Tahoma"/>
            <family val="2"/>
          </rPr>
          <t>Ruth Velarde:</t>
        </r>
        <r>
          <rPr>
            <sz val="9"/>
            <color indexed="81"/>
            <rFont val="Tahoma"/>
            <family val="2"/>
          </rPr>
          <t xml:space="preserve">
Gasto Acumulado Anual (por año fijo: 2023, 2024, etc)</t>
        </r>
      </text>
    </comment>
    <comment ref="B59" authorId="0" shapeId="0" xr:uid="{9D63D76C-0D64-4E3A-A9F7-5774EA9E7504}">
      <text>
        <r>
          <rPr>
            <b/>
            <sz val="9"/>
            <color indexed="81"/>
            <rFont val="Tahoma"/>
            <family val="2"/>
          </rPr>
          <t>Ruth Velarde:</t>
        </r>
        <r>
          <rPr>
            <sz val="9"/>
            <color indexed="81"/>
            <rFont val="Tahoma"/>
            <family val="2"/>
          </rPr>
          <t xml:space="preserve">
Gasto Acumulado Anual movible</t>
        </r>
      </text>
    </comment>
    <comment ref="B60" authorId="0" shapeId="0" xr:uid="{9DBA06E6-FA32-4697-AABA-B51010EC8A8E}">
      <text>
        <r>
          <rPr>
            <b/>
            <sz val="9"/>
            <color indexed="81"/>
            <rFont val="Tahoma"/>
            <family val="2"/>
          </rPr>
          <t>Ruth Velarde:</t>
        </r>
        <r>
          <rPr>
            <sz val="9"/>
            <color indexed="81"/>
            <rFont val="Tahoma"/>
            <family val="2"/>
          </rPr>
          <t xml:space="preserve">
Gasto Acumulado movible según stock promedio anual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305D7-ECD7-4FD5-A4F6-6AE35D87AE06}" keepAlive="1" name="Consulta - portafolio_lending" description="Conexión a la consulta 'portafolio_lending' en el libro." type="5" refreshedVersion="8" background="1" saveData="1">
    <dbPr connection="Provider=Microsoft.Mashup.OleDb.1;Data Source=$Workbook$;Location=portafolio_lending;Extended Properties=&quot;&quot;" command="SELECT * FROM [portafolio_lending]"/>
  </connection>
</connections>
</file>

<file path=xl/sharedStrings.xml><?xml version="1.0" encoding="utf-8"?>
<sst xmlns="http://schemas.openxmlformats.org/spreadsheetml/2006/main" count="846" uniqueCount="200">
  <si>
    <t>Fecha_corte</t>
  </si>
  <si>
    <t>codmes</t>
  </si>
  <si>
    <t>exchange_rate</t>
  </si>
  <si>
    <t>codigo_de_contrato</t>
  </si>
  <si>
    <t>codigo_de_prestamo</t>
  </si>
  <si>
    <t>tipo_de_persona</t>
  </si>
  <si>
    <t>tipo_de_cliente</t>
  </si>
  <si>
    <t>tipo_de_documento</t>
  </si>
  <si>
    <t>numero_de_documento</t>
  </si>
  <si>
    <t>persona_o_rrll</t>
  </si>
  <si>
    <t>ruc</t>
  </si>
  <si>
    <t>empresa</t>
  </si>
  <si>
    <t>correo</t>
  </si>
  <si>
    <t>riesgo</t>
  </si>
  <si>
    <t>tipo_de_prestamo</t>
  </si>
  <si>
    <t>moneda</t>
  </si>
  <si>
    <t>nro_de_cuotas</t>
  </si>
  <si>
    <t>monto_prestado</t>
  </si>
  <si>
    <t>monto_prestado_soles</t>
  </si>
  <si>
    <t>tem</t>
  </si>
  <si>
    <t>tea</t>
  </si>
  <si>
    <t>interes_ganados</t>
  </si>
  <si>
    <t>interes_ganados_soles</t>
  </si>
  <si>
    <t>saldo_a_pagar</t>
  </si>
  <si>
    <t>fecha_de_desembolso</t>
  </si>
  <si>
    <t>banco_de_desembolso</t>
  </si>
  <si>
    <t>numero_de_cuenta_del_cliente</t>
  </si>
  <si>
    <t>gestion_del_prestamo</t>
  </si>
  <si>
    <t>status_actual_del_prestamo</t>
  </si>
  <si>
    <t>fecha_de_finalizacion</t>
  </si>
  <si>
    <t>¿se_envio_correo_de_desmbolso?</t>
  </si>
  <si>
    <t>¿se_ingreso_al_core_bancario?</t>
  </si>
  <si>
    <t>¿se_envio_correo_inicial_a_contabilidad?</t>
  </si>
  <si>
    <t>dias_de_mora</t>
  </si>
  <si>
    <t>¿se_ingreso_a_equifax?</t>
  </si>
  <si>
    <t>carpeta_cliente</t>
  </si>
  <si>
    <t>direccion</t>
  </si>
  <si>
    <t>numero_de_contacto</t>
  </si>
  <si>
    <t>Fecha de pago del cliente</t>
  </si>
  <si>
    <t>propietario_negocio</t>
  </si>
  <si>
    <t>mes_finalizacion</t>
  </si>
  <si>
    <t>mes_desembolso</t>
  </si>
  <si>
    <t>aux col filtrado</t>
  </si>
  <si>
    <t>Capital pagado</t>
  </si>
  <si>
    <t>Interes pagado</t>
  </si>
  <si>
    <t>Interes moratorio pagado</t>
  </si>
  <si>
    <t>Saldo a favor</t>
  </si>
  <si>
    <t>TOTAL DE LA CUOTA PAGADA</t>
  </si>
  <si>
    <t>Saldo Capital</t>
  </si>
  <si>
    <t>Capital pagado_soles</t>
  </si>
  <si>
    <t>Interes pagado_soles</t>
  </si>
  <si>
    <t>Interes moratorio pagado_soles</t>
  </si>
  <si>
    <t>Saldo a favor_soles</t>
  </si>
  <si>
    <t>TOTAL DE LA CUOTA PAGADA_soles</t>
  </si>
  <si>
    <t>Saldo Capital_soles</t>
  </si>
  <si>
    <t>fecha proximo pago</t>
  </si>
  <si>
    <t>dias atraso</t>
  </si>
  <si>
    <t>rango_dias_atraso</t>
  </si>
  <si>
    <t>par 0</t>
  </si>
  <si>
    <t>par 15</t>
  </si>
  <si>
    <t>par 30</t>
  </si>
  <si>
    <t>par 60</t>
  </si>
  <si>
    <t>par 90</t>
  </si>
  <si>
    <t>par 120</t>
  </si>
  <si>
    <t>par 150</t>
  </si>
  <si>
    <t>par 180</t>
  </si>
  <si>
    <t>par 360</t>
  </si>
  <si>
    <t>par 0_soles</t>
  </si>
  <si>
    <t>par 15_soles</t>
  </si>
  <si>
    <t>par 30_soles</t>
  </si>
  <si>
    <t>par 60_soles</t>
  </si>
  <si>
    <t>par 90_soles</t>
  </si>
  <si>
    <t>par 120_soles</t>
  </si>
  <si>
    <t>par 150_soles</t>
  </si>
  <si>
    <t>par 180_soles</t>
  </si>
  <si>
    <t>par 360_soles</t>
  </si>
  <si>
    <t>q_desembolso</t>
  </si>
  <si>
    <t>m_desembolso</t>
  </si>
  <si>
    <t>m_desembolso_soles</t>
  </si>
  <si>
    <t>Clasificacion</t>
  </si>
  <si>
    <t>% Provision</t>
  </si>
  <si>
    <t>Provision</t>
  </si>
  <si>
    <t>Provision_soles</t>
  </si>
  <si>
    <t>flag_castigo_&gt;150</t>
  </si>
  <si>
    <t>LH-100001</t>
  </si>
  <si>
    <t>LH-43775269304</t>
  </si>
  <si>
    <t>Natural con Negocio</t>
  </si>
  <si>
    <t>Nuevo</t>
  </si>
  <si>
    <t>DNI</t>
  </si>
  <si>
    <t>ELIZABETH CASTILLO MONTERO</t>
  </si>
  <si>
    <t>ECASTILLOMONTERO123@GMAIL.COM</t>
  </si>
  <si>
    <t>H</t>
  </si>
  <si>
    <t>CUOTA FIJA</t>
  </si>
  <si>
    <t>SOLES</t>
  </si>
  <si>
    <t/>
  </si>
  <si>
    <t>BCP</t>
  </si>
  <si>
    <t>VIGENTE</t>
  </si>
  <si>
    <t>SI</t>
  </si>
  <si>
    <t>10405531173_ELIZABETH CASTILLO MONTERO</t>
  </si>
  <si>
    <t>JR. EUSEBIO GALVEZ SIQUERIA 332 - LIMA - SAN MARTIN DE PORRES</t>
  </si>
  <si>
    <t>51 943255543</t>
  </si>
  <si>
    <t>Priscila Quispe (pquispe@tandia.pe)</t>
  </si>
  <si>
    <t>vigente</t>
  </si>
  <si>
    <t>0. 0</t>
  </si>
  <si>
    <t>Normal</t>
  </si>
  <si>
    <t>LH-100002</t>
  </si>
  <si>
    <t>LH-43789522463</t>
  </si>
  <si>
    <t>LUIS ALBERTO ANHUAMAN AZABACHE</t>
  </si>
  <si>
    <t>luisanhuaman75@gmail.com</t>
  </si>
  <si>
    <t>I</t>
  </si>
  <si>
    <t>FINALIZADO</t>
  </si>
  <si>
    <t>10476141023_LUIS ALBERTO ANHUAMAN AZABACHE</t>
  </si>
  <si>
    <t>CALLE SAN DIEGO 269 URB LAS DELICIAS EL TRIANGULO LA LIBERTAD - TRUJILLO - MOCHE</t>
  </si>
  <si>
    <t>51 957866802</t>
  </si>
  <si>
    <t>LH-100003</t>
  </si>
  <si>
    <t>LH-43770868029</t>
  </si>
  <si>
    <t>Persona Juridica</t>
  </si>
  <si>
    <t xml:space="preserve">FERNANDO RIVELINO CASTRO FABIAN </t>
  </si>
  <si>
    <t>BLACK FOODS S.A.C.</t>
  </si>
  <si>
    <t>fernando.castro@blackfoodsperu.com</t>
  </si>
  <si>
    <t>A</t>
  </si>
  <si>
    <t>20611306751_BLACK FOODS S.A.C.</t>
  </si>
  <si>
    <t>CAL.LAS TURQUESAS NRO. 409 URB. BALCONCILLO (PISO 3) LIMA - LIMA - LA VICTORIA</t>
  </si>
  <si>
    <t>51 943367679</t>
  </si>
  <si>
    <t>LH-100004</t>
  </si>
  <si>
    <t>LH-43765591113</t>
  </si>
  <si>
    <t xml:space="preserve">LUIS ALBERTO CORDOVA CHAVEZ </t>
  </si>
  <si>
    <t>PASE &amp; COMA CATERING E.I.R.L. - PASE &amp; COMA E.I.R.L.</t>
  </si>
  <si>
    <t>gerencia@paseycoma.com</t>
  </si>
  <si>
    <t>B</t>
  </si>
  <si>
    <t>20603035420_PASE &amp; COMA CATERING E.I.R.L. - PASE &amp; COMA E.I.R.L.</t>
  </si>
  <si>
    <t>AV. 28 DE JULIO MZ.F1A LT.8A, ASOC. DE VIVIENDA EL DORADO LIMA - LIMA - PUENTE PIEDRA</t>
  </si>
  <si>
    <t>51 987204800</t>
  </si>
  <si>
    <t>LH-100005</t>
  </si>
  <si>
    <t>LH-43763437329</t>
  </si>
  <si>
    <t>LUGO VALENZUELA GIANFRANCO EDGAR</t>
  </si>
  <si>
    <t>jcsuarez.1105@gmail.com</t>
  </si>
  <si>
    <t>IBK</t>
  </si>
  <si>
    <t>10740801622_GIANFRANCO EDGAR LUGO VALENZUELA</t>
  </si>
  <si>
    <t>JR. MATEO PUMACAHUA 1040 LIMA - JESUS MARIA</t>
  </si>
  <si>
    <t>51 998265935</t>
  </si>
  <si>
    <t>finalizado</t>
  </si>
  <si>
    <t>LH-45224519959</t>
  </si>
  <si>
    <t>Antiguo</t>
  </si>
  <si>
    <t>Ampliación</t>
  </si>
  <si>
    <t>LH-100006</t>
  </si>
  <si>
    <t>LH-43772738832</t>
  </si>
  <si>
    <t>ANDREA DEL PILAR MARQUINA MELGAR</t>
  </si>
  <si>
    <t>andrea_frd@hotmail.com</t>
  </si>
  <si>
    <t>J</t>
  </si>
  <si>
    <t>10475508870_ANDREA DEL PILAR MARQUINA MELGAR</t>
  </si>
  <si>
    <t>PSJ. TORRES 133 JUNIN - HUANCAYO - EL TAMBO</t>
  </si>
  <si>
    <t>51 981347931</t>
  </si>
  <si>
    <t>LH-100007</t>
  </si>
  <si>
    <t>LH-43768686926</t>
  </si>
  <si>
    <t>ELIZABETH MEDINA TAMPI</t>
  </si>
  <si>
    <t>ALUXES E.I.R.L.</t>
  </si>
  <si>
    <t>eli.mt.gestion@gmail.com</t>
  </si>
  <si>
    <t>BBVA</t>
  </si>
  <si>
    <t>20605815368_ALUXES E.I.R.L.</t>
  </si>
  <si>
    <t>EDILBERTO RAMOS MZA. S3 LOTE. 31 INT. B P.J. PAMPLONA ALTA - LIMA - SAN JUAN DE MIRAFLORES</t>
  </si>
  <si>
    <t>51 977157434</t>
  </si>
  <si>
    <t>Priscila García (pgarcia@tandia.pe)</t>
  </si>
  <si>
    <t>02. 9 - 30</t>
  </si>
  <si>
    <t>CPP</t>
  </si>
  <si>
    <t>01. 1 - 8</t>
  </si>
  <si>
    <t>Etiquetas de fila</t>
  </si>
  <si>
    <t>Etiquetas de columna</t>
  </si>
  <si>
    <t>Suma de Provision_soles</t>
  </si>
  <si>
    <t>Días de Atraso</t>
  </si>
  <si>
    <t>03. 31 - 60</t>
  </si>
  <si>
    <t>04. 61 - 90</t>
  </si>
  <si>
    <t>05. 91 - 120</t>
  </si>
  <si>
    <t>06. 121 - 150</t>
  </si>
  <si>
    <t>07. 151 - 240</t>
  </si>
  <si>
    <t>08. 241 - 360</t>
  </si>
  <si>
    <t>09. 361 - 1,094</t>
  </si>
  <si>
    <t>10. &gt; 1,094</t>
  </si>
  <si>
    <t>Total</t>
  </si>
  <si>
    <t>Suma de Saldo Capital_soles</t>
  </si>
  <si>
    <t>PROVISIONES</t>
  </si>
  <si>
    <t>SALDO CAPITAL</t>
  </si>
  <si>
    <t>∆ Provisiones</t>
  </si>
  <si>
    <t>Castigos</t>
  </si>
  <si>
    <t>Prov + Catigos</t>
  </si>
  <si>
    <t>Gasto Bruto</t>
  </si>
  <si>
    <t>Gasto Bruto Acum</t>
  </si>
  <si>
    <t>% Provisiones</t>
  </si>
  <si>
    <t>% Prov + Cast</t>
  </si>
  <si>
    <t>Mora 30</t>
  </si>
  <si>
    <t>Mora 60</t>
  </si>
  <si>
    <t>Mora 30 + Cast</t>
  </si>
  <si>
    <t>Mora 60 + Cast</t>
  </si>
  <si>
    <t>GB Acum / Stock Prom</t>
  </si>
  <si>
    <t>GB Acum 12/ Stock</t>
  </si>
  <si>
    <t>GB Acum 12/ Stock Prom 12</t>
  </si>
  <si>
    <t>CASTIGOS</t>
  </si>
  <si>
    <t>Suma de par 30_soles</t>
  </si>
  <si>
    <t>Suma de par 60_soles</t>
  </si>
  <si>
    <t>castigado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</si>
</sst>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1" tint="0.34998626667073579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4ECBA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dotted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17" fontId="6" fillId="3" borderId="0" xfId="0" applyNumberFormat="1" applyFont="1" applyFill="1"/>
    <xf numFmtId="0" fontId="8" fillId="0" borderId="0" xfId="0" applyFont="1"/>
    <xf numFmtId="0" fontId="7" fillId="0" borderId="2" xfId="0" applyFont="1" applyBorder="1"/>
    <xf numFmtId="14" fontId="3" fillId="2" borderId="1" xfId="0" applyNumberFormat="1" applyFont="1" applyFill="1" applyBorder="1"/>
    <xf numFmtId="14" fontId="2" fillId="4" borderId="0" xfId="0" applyNumberFormat="1" applyFont="1" applyFill="1"/>
    <xf numFmtId="43" fontId="8" fillId="0" borderId="0" xfId="1" applyFont="1" applyAlignment="1">
      <alignment horizontal="center"/>
    </xf>
    <xf numFmtId="43" fontId="7" fillId="0" borderId="2" xfId="1" applyFont="1" applyBorder="1" applyAlignment="1">
      <alignment horizontal="center"/>
    </xf>
    <xf numFmtId="9" fontId="9" fillId="0" borderId="0" xfId="0" applyNumberFormat="1" applyFont="1"/>
    <xf numFmtId="43" fontId="2" fillId="4" borderId="0" xfId="1" applyFont="1" applyFill="1" applyBorder="1"/>
    <xf numFmtId="43" fontId="0" fillId="0" borderId="0" xfId="1" applyFont="1"/>
    <xf numFmtId="0" fontId="10" fillId="0" borderId="3" xfId="0" applyFont="1" applyBorder="1" applyAlignment="1">
      <alignment vertical="center"/>
    </xf>
    <xf numFmtId="0" fontId="8" fillId="5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6" borderId="4" xfId="0" applyFont="1" applyFill="1" applyBorder="1" applyAlignment="1">
      <alignment vertical="center" wrapText="1"/>
    </xf>
    <xf numFmtId="0" fontId="10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164" fontId="8" fillId="0" borderId="0" xfId="2" applyNumberFormat="1" applyFont="1" applyBorder="1"/>
    <xf numFmtId="0" fontId="10" fillId="0" borderId="0" xfId="0" applyFont="1"/>
    <xf numFmtId="0" fontId="11" fillId="7" borderId="0" xfId="0" applyFont="1" applyFill="1"/>
    <xf numFmtId="0" fontId="11" fillId="8" borderId="0" xfId="0" applyFont="1" applyFill="1"/>
    <xf numFmtId="0" fontId="0" fillId="9" borderId="0" xfId="0" applyFill="1"/>
    <xf numFmtId="0" fontId="7" fillId="0" borderId="0" xfId="0" applyFont="1"/>
    <xf numFmtId="43" fontId="7" fillId="0" borderId="0" xfId="1" applyFont="1" applyBorder="1" applyAlignment="1">
      <alignment horizontal="center"/>
    </xf>
    <xf numFmtId="43" fontId="10" fillId="0" borderId="3" xfId="1" applyFont="1" applyBorder="1" applyAlignment="1">
      <alignment horizontal="center" vertical="center"/>
    </xf>
    <xf numFmtId="43" fontId="8" fillId="5" borderId="0" xfId="1" applyFont="1" applyFill="1" applyAlignment="1">
      <alignment horizontal="center" vertical="center" wrapText="1"/>
    </xf>
    <xf numFmtId="43" fontId="8" fillId="0" borderId="0" xfId="1" applyFont="1" applyAlignment="1">
      <alignment horizontal="center" vertical="center" wrapText="1"/>
    </xf>
    <xf numFmtId="43" fontId="10" fillId="0" borderId="0" xfId="1" applyFont="1" applyAlignment="1">
      <alignment horizontal="center" vertical="center" wrapText="1"/>
    </xf>
    <xf numFmtId="43" fontId="10" fillId="6" borderId="4" xfId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/>
    </xf>
    <xf numFmtId="43" fontId="10" fillId="0" borderId="5" xfId="1" applyFont="1" applyBorder="1" applyAlignment="1">
      <alignment horizontal="center" vertical="center"/>
    </xf>
    <xf numFmtId="43" fontId="10" fillId="0" borderId="0" xfId="1" applyFont="1" applyBorder="1" applyAlignment="1">
      <alignment horizontal="center" vertical="center"/>
    </xf>
    <xf numFmtId="43" fontId="8" fillId="0" borderId="0" xfId="1" applyFont="1" applyBorder="1"/>
    <xf numFmtId="43" fontId="8" fillId="0" borderId="0" xfId="1" applyFont="1" applyFill="1" applyBorder="1"/>
    <xf numFmtId="43" fontId="10" fillId="0" borderId="0" xfId="1" applyFont="1" applyAlignment="1">
      <alignment horizontal="center"/>
    </xf>
    <xf numFmtId="43" fontId="8" fillId="7" borderId="0" xfId="1" applyFont="1" applyFill="1" applyAlignment="1">
      <alignment horizontal="center"/>
    </xf>
    <xf numFmtId="43" fontId="11" fillId="8" borderId="0" xfId="1" applyFont="1" applyFill="1" applyAlignment="1">
      <alignment horizontal="center"/>
    </xf>
    <xf numFmtId="14" fontId="0" fillId="10" borderId="0" xfId="0" applyNumberFormat="1" applyFill="1"/>
    <xf numFmtId="0" fontId="0" fillId="10" borderId="0" xfId="0" applyFill="1"/>
  </cellXfs>
  <cellStyles count="3">
    <cellStyle name="Millares" xfId="1" builtinId="3"/>
    <cellStyle name="Normal" xfId="0" builtinId="0"/>
    <cellStyle name="Porcentaje" xfId="2" builtinId="5"/>
  </cellStyles>
  <dxfs count="74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microsoft.com/office/2011/relationships/timelineCache" Target="timelineCaches/timelineCach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289560</xdr:colOff>
      <xdr:row>21</xdr:row>
      <xdr:rowOff>160020</xdr:rowOff>
    </xdr:from>
    <xdr:to>
      <xdr:col>14</xdr:col>
      <xdr:colOff>22860</xdr:colOff>
      <xdr:row>30</xdr:row>
      <xdr:rowOff>30480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Fecha_corte">
              <a:extLst>
                <a:ext uri="{FF2B5EF4-FFF2-40B4-BE49-F238E27FC236}">
                  <a16:creationId xmlns:a16="http://schemas.microsoft.com/office/drawing/2014/main" id="{6CA1BC14-2302-375D-E721-223D413C08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_cor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2600" y="3855720"/>
              <a:ext cx="595884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Montoya" refreshedDate="45988.712188773148" createdVersion="8" refreshedVersion="8" minRefreshableVersion="3" recordCount="27" xr:uid="{9310A11A-6B01-4A1D-9543-EF6F2561E33B}">
  <cacheSource type="worksheet">
    <worksheetSource ref="A1:CF1048576" sheet="portafolio_lending"/>
  </cacheSource>
  <cacheFields count="86">
    <cacheField name="Fecha_corte" numFmtId="0">
      <sharedItems containsNonDate="0" containsDate="1" containsString="0" containsBlank="1" minDate="2025-09-30T00:00:00" maxDate="2026-01-01T00:00:00" count="5">
        <d v="2025-09-30T00:00:00"/>
        <d v="2025-10-31T00:00:00"/>
        <d v="2025-11-30T00:00:00"/>
        <d v="2025-12-31T00:00:00"/>
        <m/>
      </sharedItems>
      <fieldGroup par="85"/>
    </cacheField>
    <cacheField name="codmes" numFmtId="0">
      <sharedItems containsString="0" containsBlank="1" containsNumber="1" containsInteger="1" minValue="202509" maxValue="202512"/>
    </cacheField>
    <cacheField name="exchange_rate" numFmtId="0">
      <sharedItems containsString="0" containsBlank="1" containsNumber="1" minValue="3.367" maxValue="3.5"/>
    </cacheField>
    <cacheField name="codigo_de_contrato" numFmtId="0">
      <sharedItems containsBlank="1"/>
    </cacheField>
    <cacheField name="codigo_de_prestamo" numFmtId="0">
      <sharedItems containsBlank="1"/>
    </cacheField>
    <cacheField name="tipo_de_persona" numFmtId="0">
      <sharedItems containsBlank="1"/>
    </cacheField>
    <cacheField name="tipo_de_cliente" numFmtId="0">
      <sharedItems containsBlank="1"/>
    </cacheField>
    <cacheField name="tipo_de_documento" numFmtId="0">
      <sharedItems containsBlank="1"/>
    </cacheField>
    <cacheField name="numero_de_documento" numFmtId="0">
      <sharedItems containsString="0" containsBlank="1" containsNumber="1" containsInteger="1" minValue="40553117" maxValue="74080162"/>
    </cacheField>
    <cacheField name="persona_o_rrll" numFmtId="0">
      <sharedItems containsBlank="1"/>
    </cacheField>
    <cacheField name="ruc" numFmtId="0">
      <sharedItems containsString="0" containsBlank="1" containsNumber="1" containsInteger="1" minValue="10405531173" maxValue="20611306751"/>
    </cacheField>
    <cacheField name="empresa" numFmtId="0">
      <sharedItems containsBlank="1"/>
    </cacheField>
    <cacheField name="correo" numFmtId="0">
      <sharedItems containsBlank="1"/>
    </cacheField>
    <cacheField name="riesgo" numFmtId="0">
      <sharedItems containsBlank="1"/>
    </cacheField>
    <cacheField name="tipo_de_prestamo" numFmtId="0">
      <sharedItems containsBlank="1"/>
    </cacheField>
    <cacheField name="moneda" numFmtId="0">
      <sharedItems containsBlank="1"/>
    </cacheField>
    <cacheField name="nro_de_cuotas" numFmtId="0">
      <sharedItems containsString="0" containsBlank="1" containsNumber="1" containsInteger="1" minValue="6" maxValue="12"/>
    </cacheField>
    <cacheField name="monto_prestado" numFmtId="0">
      <sharedItems containsString="0" containsBlank="1" containsNumber="1" containsInteger="1" minValue="2000" maxValue="5000"/>
    </cacheField>
    <cacheField name="monto_prestado_soles" numFmtId="0">
      <sharedItems containsString="0" containsBlank="1" containsNumber="1" containsInteger="1" minValue="2000" maxValue="5000"/>
    </cacheField>
    <cacheField name="tem" numFmtId="0">
      <sharedItems containsString="0" containsBlank="1" containsNumber="1" minValue="2.58E-2" maxValue="5.16E-2"/>
    </cacheField>
    <cacheField name="tea" numFmtId="0">
      <sharedItems containsString="0" containsBlank="1" containsNumber="1" minValue="0.35749999999999998" maxValue="0.82899999999999996"/>
    </cacheField>
    <cacheField name="interes_ganados" numFmtId="0">
      <sharedItems containsString="0" containsBlank="1" containsNumber="1" minValue="19.649999999999999" maxValue="428.21"/>
    </cacheField>
    <cacheField name="interes_ganados_soles" numFmtId="0">
      <sharedItems containsString="0" containsBlank="1" containsNumber="1" minValue="19.649999999999999" maxValue="428.21"/>
    </cacheField>
    <cacheField name="saldo_a_pagar" numFmtId="0">
      <sharedItems containsBlank="1"/>
    </cacheField>
    <cacheField name="fecha_de_desembolso" numFmtId="0">
      <sharedItems containsNonDate="0" containsDate="1" containsString="0" containsBlank="1" minDate="2025-09-24T00:00:00" maxDate="2025-11-25T00:00:00"/>
    </cacheField>
    <cacheField name="banco_de_desembolso" numFmtId="0">
      <sharedItems containsBlank="1"/>
    </cacheField>
    <cacheField name="numero_de_cuenta_del_cliente" numFmtId="0">
      <sharedItems containsString="0" containsBlank="1" containsNumber="1" containsInteger="1" minValue="1917094078051" maxValue="1.1157000200678295E+18"/>
    </cacheField>
    <cacheField name="gestion_del_prestamo" numFmtId="0">
      <sharedItems containsBlank="1"/>
    </cacheField>
    <cacheField name="status_actual_del_prestamo" numFmtId="0">
      <sharedItems containsBlank="1"/>
    </cacheField>
    <cacheField name="fecha_de_finalizacion" numFmtId="0">
      <sharedItems containsNonDate="0" containsDate="1" containsString="0" containsBlank="1" minDate="2025-10-01T00:00:00" maxDate="2025-10-02T00:00:00"/>
    </cacheField>
    <cacheField name="¿se_envio_correo_de_desmbolso?" numFmtId="0">
      <sharedItems containsBlank="1"/>
    </cacheField>
    <cacheField name="¿se_ingreso_al_core_bancario?" numFmtId="0">
      <sharedItems containsBlank="1"/>
    </cacheField>
    <cacheField name="¿se_envio_correo_inicial_a_contabilidad?" numFmtId="0">
      <sharedItems containsBlank="1"/>
    </cacheField>
    <cacheField name="dias_de_mora" numFmtId="0">
      <sharedItems containsString="0" containsBlank="1" containsNumber="1" containsInteger="1" minValue="0" maxValue="0"/>
    </cacheField>
    <cacheField name="¿se_ingreso_a_equifax?" numFmtId="0">
      <sharedItems containsBlank="1"/>
    </cacheField>
    <cacheField name="carpeta_cliente" numFmtId="0">
      <sharedItems containsBlank="1"/>
    </cacheField>
    <cacheField name="direccion" numFmtId="0">
      <sharedItems containsBlank="1"/>
    </cacheField>
    <cacheField name="numero_de_contacto" numFmtId="0">
      <sharedItems containsBlank="1"/>
    </cacheField>
    <cacheField name="Fecha de pago del cliente" numFmtId="0">
      <sharedItems containsNonDate="0" containsDate="1" containsString="0" containsBlank="1" minDate="2025-10-01T00:00:00" maxDate="2025-10-02T00:00:00"/>
    </cacheField>
    <cacheField name="propietario_negocio" numFmtId="0">
      <sharedItems containsBlank="1"/>
    </cacheField>
    <cacheField name="mes_finalizacion" numFmtId="0">
      <sharedItems containsNonDate="0" containsDate="1" containsString="0" containsBlank="1" minDate="2025-10-31T00:00:00" maxDate="2025-11-01T00:00:00"/>
    </cacheField>
    <cacheField name="mes_desembolso" numFmtId="0">
      <sharedItems containsNonDate="0" containsDate="1" containsString="0" containsBlank="1" minDate="2025-09-30T00:00:00" maxDate="2025-12-01T00:00:00"/>
    </cacheField>
    <cacheField name="aux col filtrado" numFmtId="0">
      <sharedItems containsBlank="1"/>
    </cacheField>
    <cacheField name="Capital pagado" numFmtId="0">
      <sharedItems containsString="0" containsBlank="1" containsNumber="1" minValue="0" maxValue="2000"/>
    </cacheField>
    <cacheField name="Interes pagado" numFmtId="0">
      <sharedItems containsString="0" containsBlank="1" containsNumber="1" minValue="0" maxValue="346.16"/>
    </cacheField>
    <cacheField name="Interes moratorio pagado" numFmtId="0">
      <sharedItems containsString="0" containsBlank="1" containsNumber="1" minValue="0" maxValue="17.21"/>
    </cacheField>
    <cacheField name="Saldo a favor" numFmtId="0">
      <sharedItems containsString="0" containsBlank="1" containsNumber="1" minValue="0" maxValue="5.16"/>
    </cacheField>
    <cacheField name="TOTAL DE LA CUOTA PAGADA" numFmtId="0">
      <sharedItems containsString="0" containsBlank="1" containsNumber="1" minValue="0" maxValue="2019.65"/>
    </cacheField>
    <cacheField name="Saldo Capital" numFmtId="0">
      <sharedItems containsString="0" containsBlank="1" containsNumber="1" minValue="0" maxValue="5000"/>
    </cacheField>
    <cacheField name="Capital pagado_soles" numFmtId="0">
      <sharedItems containsString="0" containsBlank="1" containsNumber="1" minValue="0" maxValue="2000"/>
    </cacheField>
    <cacheField name="Interes pagado_soles" numFmtId="0">
      <sharedItems containsString="0" containsBlank="1" containsNumber="1" minValue="0" maxValue="346.16"/>
    </cacheField>
    <cacheField name="Interes moratorio pagado_soles" numFmtId="0">
      <sharedItems containsString="0" containsBlank="1" containsNumber="1" minValue="0" maxValue="17.21"/>
    </cacheField>
    <cacheField name="Saldo a favor_soles" numFmtId="0">
      <sharedItems containsString="0" containsBlank="1" containsNumber="1" minValue="0" maxValue="5.16"/>
    </cacheField>
    <cacheField name="TOTAL DE LA CUOTA PAGADA_soles" numFmtId="0">
      <sharedItems containsString="0" containsBlank="1" containsNumber="1" minValue="0" maxValue="2019.65"/>
    </cacheField>
    <cacheField name="Saldo Capital_soles" numFmtId="0">
      <sharedItems containsString="0" containsBlank="1" containsNumber="1" minValue="0" maxValue="5000"/>
    </cacheField>
    <cacheField name="fecha proximo pago" numFmtId="0">
      <sharedItems containsNonDate="0" containsDate="1" containsString="0" containsBlank="1" minDate="2025-11-05T00:00:00" maxDate="2025-12-26T00:00:00"/>
    </cacheField>
    <cacheField name="dias atraso" numFmtId="0">
      <sharedItems containsString="0" containsBlank="1" containsNumber="1" containsInteger="1" minValue="0" maxValue="26"/>
    </cacheField>
    <cacheField name="rango_dias_atraso" numFmtId="0">
      <sharedItems containsBlank="1" count="4">
        <s v="0. 0"/>
        <s v="02. 9 - 30"/>
        <s v="01. 1 - 8"/>
        <m/>
      </sharedItems>
    </cacheField>
    <cacheField name="par 0" numFmtId="0">
      <sharedItems containsString="0" containsBlank="1" containsNumber="1" minValue="0" maxValue="5000"/>
    </cacheField>
    <cacheField name="par 15" numFmtId="0">
      <sharedItems containsString="0" containsBlank="1" containsNumber="1" minValue="0" maxValue="5000"/>
    </cacheField>
    <cacheField name="par 30" numFmtId="0">
      <sharedItems containsString="0" containsBlank="1" containsNumber="1" containsInteger="1" minValue="0" maxValue="0"/>
    </cacheField>
    <cacheField name="par 60" numFmtId="0">
      <sharedItems containsString="0" containsBlank="1" containsNumber="1" containsInteger="1" minValue="0" maxValue="0"/>
    </cacheField>
    <cacheField name="par 90" numFmtId="0">
      <sharedItems containsString="0" containsBlank="1" containsNumber="1" containsInteger="1" minValue="0" maxValue="0"/>
    </cacheField>
    <cacheField name="par 120" numFmtId="0">
      <sharedItems containsString="0" containsBlank="1" containsNumber="1" containsInteger="1" minValue="0" maxValue="0"/>
    </cacheField>
    <cacheField name="par 150" numFmtId="0">
      <sharedItems containsString="0" containsBlank="1" containsNumber="1" containsInteger="1" minValue="0" maxValue="0"/>
    </cacheField>
    <cacheField name="par 180" numFmtId="0">
      <sharedItems containsString="0" containsBlank="1" containsNumber="1" containsInteger="1" minValue="0" maxValue="0"/>
    </cacheField>
    <cacheField name="par 360" numFmtId="0">
      <sharedItems containsString="0" containsBlank="1" containsNumber="1" containsInteger="1" minValue="0" maxValue="0"/>
    </cacheField>
    <cacheField name="par 0_soles" numFmtId="0">
      <sharedItems containsString="0" containsBlank="1" containsNumber="1" minValue="0" maxValue="5000"/>
    </cacheField>
    <cacheField name="par 15_soles" numFmtId="0">
      <sharedItems containsString="0" containsBlank="1" containsNumber="1" minValue="0" maxValue="5000"/>
    </cacheField>
    <cacheField name="par 30_soles" numFmtId="0">
      <sharedItems containsString="0" containsBlank="1" containsNumber="1" containsInteger="1" minValue="0" maxValue="0"/>
    </cacheField>
    <cacheField name="par 60_soles" numFmtId="0">
      <sharedItems containsString="0" containsBlank="1" containsNumber="1" containsInteger="1" minValue="0" maxValue="0"/>
    </cacheField>
    <cacheField name="par 90_soles" numFmtId="0">
      <sharedItems containsString="0" containsBlank="1" containsNumber="1" containsInteger="1" minValue="0" maxValue="0"/>
    </cacheField>
    <cacheField name="par 120_soles" numFmtId="0">
      <sharedItems containsString="0" containsBlank="1" containsNumber="1" containsInteger="1" minValue="0" maxValue="0"/>
    </cacheField>
    <cacheField name="par 150_soles" numFmtId="0">
      <sharedItems containsString="0" containsBlank="1" containsNumber="1" containsInteger="1" minValue="0" maxValue="0"/>
    </cacheField>
    <cacheField name="par 180_soles" numFmtId="0">
      <sharedItems containsString="0" containsBlank="1" containsNumber="1" containsInteger="1" minValue="0" maxValue="0"/>
    </cacheField>
    <cacheField name="par 360_soles" numFmtId="0">
      <sharedItems containsString="0" containsBlank="1" containsNumber="1" containsInteger="1" minValue="0" maxValue="0"/>
    </cacheField>
    <cacheField name="q_desembolso" numFmtId="0">
      <sharedItems containsString="0" containsBlank="1" containsNumber="1" containsInteger="1" minValue="0" maxValue="1"/>
    </cacheField>
    <cacheField name="m_desembolso" numFmtId="0">
      <sharedItems containsString="0" containsBlank="1" containsNumber="1" containsInteger="1" minValue="0" maxValue="5000"/>
    </cacheField>
    <cacheField name="m_desembolso_soles" numFmtId="0">
      <sharedItems containsString="0" containsBlank="1" containsNumber="1" containsInteger="1" minValue="0" maxValue="5000"/>
    </cacheField>
    <cacheField name="Clasificacion" numFmtId="0">
      <sharedItems containsBlank="1"/>
    </cacheField>
    <cacheField name="% Provision" numFmtId="0">
      <sharedItems containsString="0" containsBlank="1" containsNumber="1" minValue="0.01" maxValue="0.05"/>
    </cacheField>
    <cacheField name="Provision" numFmtId="0">
      <sharedItems containsString="0" containsBlank="1" containsNumber="1" minValue="0" maxValue="250"/>
    </cacheField>
    <cacheField name="Provision_soles" numFmtId="0">
      <sharedItems containsString="0" containsBlank="1" containsNumber="1" minValue="0" maxValue="250"/>
    </cacheField>
    <cacheField name="flag_castigo_&gt;150" numFmtId="0">
      <sharedItems containsBlank="1" count="2">
        <s v=""/>
        <m/>
      </sharedItems>
    </cacheField>
    <cacheField name="Días (Fecha_corte)" numFmtId="0" databaseField="0">
      <fieldGroup base="0">
        <rangePr groupBy="days" startDate="2025-09-30T00:00:00" endDate="2026-01-01T00:00:00"/>
        <groupItems count="368">
          <s v="&lt;30/09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01/2026"/>
        </groupItems>
      </fieldGroup>
    </cacheField>
    <cacheField name="Meses (Fecha_corte)" numFmtId="0" databaseField="0">
      <fieldGroup base="0">
        <rangePr groupBy="months" startDate="2025-09-30T00:00:00" endDate="2026-01-01T00:00:00"/>
        <groupItems count="14">
          <s v="&lt;30/09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/01/2026"/>
        </groupItems>
      </fieldGroup>
    </cacheField>
  </cacheFields>
  <extLst>
    <ext xmlns:x14="http://schemas.microsoft.com/office/spreadsheetml/2009/9/main" uri="{725AE2AE-9491-48be-B2B4-4EB974FC3084}">
      <x14:pivotCacheDefinition pivotCacheId="17820179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n v="202509"/>
    <n v="3.47"/>
    <s v="LH-100001"/>
    <s v="LH-43775269304"/>
    <s v="Natural con Negocio"/>
    <s v="Nuevo"/>
    <s v="DNI"/>
    <n v="40553117"/>
    <s v="ELIZABETH CASTILLO MONTERO"/>
    <n v="10405531173"/>
    <s v="ELIZABETH CASTILLO MONTERO"/>
    <s v="ECASTILLOMONTERO123@GMAIL.COM"/>
    <s v="H"/>
    <s v="CUOTA FIJA"/>
    <s v="SOLES"/>
    <n v="12"/>
    <n v="5000"/>
    <n v="5000"/>
    <n v="5.0200000000000002E-2"/>
    <n v="0.8"/>
    <n v="428.21"/>
    <n v="428.21"/>
    <s v=""/>
    <d v="2025-09-24T00:00:00"/>
    <s v="BCP"/>
    <n v="19102015634093"/>
    <s v=""/>
    <s v="VIGENTE"/>
    <m/>
    <s v="SI"/>
    <s v="SI"/>
    <s v="SI"/>
    <n v="0"/>
    <s v=""/>
    <s v="10405531173_ELIZABETH CASTILLO MONTERO"/>
    <s v="JR. EUSEBIO GALVEZ SIQUERIA 332 - LIMA - SAN MARTIN DE PORRES"/>
    <s v="51 943255543"/>
    <m/>
    <s v="Priscila Quispe (pquispe@tandia.pe)"/>
    <m/>
    <d v="2025-09-30T00:00:00"/>
    <s v="vigente"/>
    <n v="0"/>
    <n v="0"/>
    <n v="0"/>
    <n v="0"/>
    <n v="0"/>
    <n v="5000"/>
    <n v="0"/>
    <n v="0"/>
    <n v="0"/>
    <n v="0"/>
    <n v="0"/>
    <n v="5000"/>
    <d v="2025-11-0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000"/>
    <n v="5000"/>
    <s v="Normal"/>
    <n v="0.01"/>
    <n v="50"/>
    <n v="50"/>
    <x v="0"/>
  </r>
  <r>
    <x v="0"/>
    <n v="202509"/>
    <n v="3.47"/>
    <s v="LH-100002"/>
    <s v="LH-43789522463"/>
    <s v="Natural con Negocio"/>
    <s v="Nuevo"/>
    <s v="DNI"/>
    <n v="47614102"/>
    <s v="LUIS ALBERTO ANHUAMAN AZABACHE"/>
    <n v="10476141023"/>
    <s v="LUIS ALBERTO ANHUAMAN AZABACHE"/>
    <s v="luisanhuaman75@gmail.com"/>
    <s v="I"/>
    <s v="CUOTA FIJA"/>
    <s v="SOLES"/>
    <n v="6"/>
    <n v="2000"/>
    <n v="2000"/>
    <n v="4.2799999999999998E-2"/>
    <n v="0.65349999999999997"/>
    <n v="19.649999999999999"/>
    <n v="19.649999999999999"/>
    <s v=""/>
    <d v="2025-09-24T00:00:00"/>
    <s v="BCP"/>
    <n v="57090910922067"/>
    <s v=""/>
    <s v="FINALIZADO"/>
    <d v="2025-10-01T00:00:00"/>
    <s v="SI"/>
    <s v="SI"/>
    <s v="SI"/>
    <n v="0"/>
    <s v=""/>
    <s v="10476141023_LUIS ALBERTO ANHUAMAN AZABACHE"/>
    <s v="CALLE SAN DIEGO 269 URB LAS DELICIAS EL TRIANGULO LA LIBERTAD - TRUJILLO - MOCHE"/>
    <s v="51 957866802"/>
    <d v="2025-10-01T00:00:00"/>
    <s v="Priscila Quispe (pquispe@tandia.pe)"/>
    <d v="2025-10-31T00:00:00"/>
    <d v="2025-09-30T00:00:00"/>
    <s v="vigente"/>
    <n v="0"/>
    <n v="0"/>
    <n v="0"/>
    <n v="0"/>
    <n v="0"/>
    <n v="2000"/>
    <n v="0"/>
    <n v="0"/>
    <n v="0"/>
    <n v="0"/>
    <n v="0"/>
    <n v="2000"/>
    <d v="2025-11-1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000"/>
    <n v="2000"/>
    <s v="Normal"/>
    <n v="0.01"/>
    <n v="20"/>
    <n v="20"/>
    <x v="0"/>
  </r>
  <r>
    <x v="0"/>
    <n v="202509"/>
    <n v="3.47"/>
    <s v="LH-100003"/>
    <s v="LH-43770868029"/>
    <s v="Persona Juridica"/>
    <s v="Nuevo"/>
    <s v="DNI"/>
    <n v="41816681"/>
    <s v="FERNANDO RIVELINO CASTRO FABIAN "/>
    <n v="20611306751"/>
    <s v="BLACK FOODS S.A.C."/>
    <s v="fernando.castro@blackfoodsperu.com"/>
    <s v="A"/>
    <s v="CUOTA FIJA"/>
    <s v="SOLES"/>
    <n v="12"/>
    <n v="5000"/>
    <n v="5000"/>
    <n v="2.7799999999999998E-2"/>
    <n v="0.3896"/>
    <m/>
    <m/>
    <s v=""/>
    <d v="2025-09-26T00:00:00"/>
    <s v="BCP"/>
    <n v="1917094078051"/>
    <s v=""/>
    <s v="VIGENTE"/>
    <m/>
    <s v="SI"/>
    <s v="SI"/>
    <s v="SI"/>
    <n v="0"/>
    <s v=""/>
    <s v="20611306751_BLACK FOODS S.A.C."/>
    <s v="CAL.LAS TURQUESAS NRO. 409 URB. BALCONCILLO (PISO 3) LIMA - LIMA - LA VICTORIA"/>
    <s v="51 943367679"/>
    <m/>
    <s v="Priscila Quispe (pquispe@tandia.pe)"/>
    <m/>
    <d v="2025-09-30T00:00:00"/>
    <s v="vigente"/>
    <n v="0"/>
    <n v="0"/>
    <n v="0"/>
    <n v="0"/>
    <n v="0"/>
    <n v="5000"/>
    <n v="0"/>
    <n v="0"/>
    <n v="0"/>
    <n v="0"/>
    <n v="0"/>
    <n v="5000"/>
    <d v="2025-11-1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000"/>
    <n v="5000"/>
    <s v="Normal"/>
    <n v="0.01"/>
    <n v="50"/>
    <n v="50"/>
    <x v="0"/>
  </r>
  <r>
    <x v="0"/>
    <n v="202509"/>
    <n v="3.47"/>
    <s v="LH-100004"/>
    <s v="LH-43765591113"/>
    <s v="Persona Juridica"/>
    <s v="Nuevo"/>
    <s v="DNI"/>
    <n v="46135290"/>
    <s v="LUIS ALBERTO CORDOVA CHAVEZ "/>
    <n v="20603035420"/>
    <s v="PASE &amp; COMA CATERING E.I.R.L. - PASE &amp; COMA E.I.R.L."/>
    <s v="gerencia@paseycoma.com"/>
    <s v="B"/>
    <s v="CUOTA FIJA"/>
    <s v="SOLES"/>
    <n v="12"/>
    <n v="3000"/>
    <n v="3000"/>
    <n v="3.3300000000000003E-2"/>
    <n v="0.48159999999999997"/>
    <m/>
    <m/>
    <s v=""/>
    <d v="2025-09-29T00:00:00"/>
    <s v="BCP"/>
    <n v="19190087709084"/>
    <s v=""/>
    <s v="VIGENTE"/>
    <m/>
    <s v="SI"/>
    <s v="SI"/>
    <s v="SI"/>
    <n v="0"/>
    <s v=""/>
    <s v="20603035420_PASE &amp; COMA CATERING E.I.R.L. - PASE &amp; COMA E.I.R.L."/>
    <s v="AV. 28 DE JULIO MZ.F1A LT.8A, ASOC. DE VIVIENDA EL DORADO LIMA - LIMA - PUENTE PIEDRA"/>
    <s v="51 987204800"/>
    <m/>
    <s v="Priscila Quispe (pquispe@tandia.pe)"/>
    <m/>
    <d v="2025-09-30T00:00:00"/>
    <s v="vigente"/>
    <n v="0"/>
    <n v="0"/>
    <n v="0"/>
    <n v="0"/>
    <n v="0"/>
    <n v="3000"/>
    <n v="0"/>
    <n v="0"/>
    <n v="0"/>
    <n v="0"/>
    <n v="0"/>
    <n v="3000"/>
    <d v="2025-11-2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000"/>
    <n v="3000"/>
    <s v="Normal"/>
    <n v="0.01"/>
    <n v="30"/>
    <n v="30"/>
    <x v="0"/>
  </r>
  <r>
    <x v="0"/>
    <n v="202509"/>
    <n v="3.47"/>
    <s v="LH-100005"/>
    <s v="LH-43763437329"/>
    <s v="Natural con Negocio"/>
    <s v="Nuevo"/>
    <s v="DNI"/>
    <n v="74080162"/>
    <s v="LUGO VALENZUELA GIANFRANCO EDGAR"/>
    <n v="10740801622"/>
    <s v="LUGO VALENZUELA GIANFRANCO EDGAR"/>
    <s v="jcsuarez.1105@gmail.com"/>
    <s v="A"/>
    <s v="CUOTA FIJA"/>
    <s v="SOLES"/>
    <n v="6"/>
    <n v="5000"/>
    <n v="5000"/>
    <n v="2.58E-2"/>
    <n v="0.35749999999999998"/>
    <m/>
    <m/>
    <s v=""/>
    <d v="2025-09-30T00:00:00"/>
    <s v="IBK"/>
    <n v="3.1260133132857619E+17"/>
    <s v=""/>
    <s v="VIGENTE"/>
    <m/>
    <s v="SI"/>
    <s v="SI"/>
    <s v="SI"/>
    <n v="0"/>
    <s v=""/>
    <s v="10740801622_GIANFRANCO EDGAR LUGO VALENZUELA"/>
    <s v="JR. MATEO PUMACAHUA 1040 LIMA - JESUS MARIA"/>
    <s v="51 998265935"/>
    <m/>
    <s v="Priscila Quispe (pquispe@tandia.pe)"/>
    <m/>
    <d v="2025-09-30T00:00:00"/>
    <s v="vigente"/>
    <n v="0"/>
    <n v="0"/>
    <n v="0"/>
    <n v="0"/>
    <n v="0"/>
    <n v="5000"/>
    <n v="0"/>
    <n v="0"/>
    <n v="0"/>
    <n v="0"/>
    <n v="0"/>
    <n v="5000"/>
    <d v="2025-11-2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000"/>
    <n v="5000"/>
    <s v="Normal"/>
    <n v="0.01"/>
    <n v="50"/>
    <n v="50"/>
    <x v="0"/>
  </r>
  <r>
    <x v="1"/>
    <n v="202510"/>
    <n v="3.375"/>
    <s v="LH-100001"/>
    <s v="LH-43775269304"/>
    <s v="Natural con Negocio"/>
    <s v="Nuevo"/>
    <s v="DNI"/>
    <n v="40553117"/>
    <s v="ELIZABETH CASTILLO MONTERO"/>
    <n v="10405531173"/>
    <s v="ELIZABETH CASTILLO MONTERO"/>
    <s v="ECASTILLOMONTERO123@GMAIL.COM"/>
    <s v="H"/>
    <s v="CUOTA FIJA"/>
    <s v="SOLES"/>
    <n v="12"/>
    <n v="5000"/>
    <n v="5000"/>
    <n v="5.0200000000000002E-2"/>
    <n v="0.8"/>
    <n v="428.21"/>
    <n v="428.21"/>
    <s v=""/>
    <d v="2025-09-24T00:00:00"/>
    <s v="BCP"/>
    <n v="19102015634093"/>
    <s v=""/>
    <s v="VIGENTE"/>
    <m/>
    <s v="SI"/>
    <s v="SI"/>
    <s v="SI"/>
    <n v="0"/>
    <s v=""/>
    <s v="10405531173_ELIZABETH CASTILLO MONTERO"/>
    <s v="JR. EUSEBIO GALVEZ SIQUERIA 332 - LIMA - SAN MARTIN DE PORRES"/>
    <s v="51 943255543"/>
    <m/>
    <s v="Priscila Quispe (pquispe@tandia.pe)"/>
    <m/>
    <d v="2025-09-30T00:00:00"/>
    <s v="vigente"/>
    <n v="0"/>
    <n v="0"/>
    <n v="0"/>
    <n v="0"/>
    <n v="0"/>
    <n v="5000"/>
    <n v="0"/>
    <n v="0"/>
    <n v="0"/>
    <n v="0"/>
    <n v="0"/>
    <n v="5000"/>
    <d v="2025-11-0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n v="0.01"/>
    <n v="50"/>
    <n v="50"/>
    <x v="0"/>
  </r>
  <r>
    <x v="1"/>
    <n v="202510"/>
    <n v="3.375"/>
    <s v="LH-100002"/>
    <s v="LH-43789522463"/>
    <s v="Natural con Negocio"/>
    <s v="Nuevo"/>
    <s v="DNI"/>
    <n v="47614102"/>
    <s v="LUIS ALBERTO ANHUAMAN AZABACHE"/>
    <n v="10476141023"/>
    <s v="LUIS ALBERTO ANHUAMAN AZABACHE"/>
    <s v="luisanhuaman75@gmail.com"/>
    <s v="I"/>
    <s v="CUOTA FIJA"/>
    <s v="SOLES"/>
    <n v="6"/>
    <n v="2000"/>
    <n v="2000"/>
    <n v="4.2799999999999998E-2"/>
    <n v="0.65349999999999997"/>
    <n v="19.649999999999999"/>
    <n v="19.649999999999999"/>
    <s v=""/>
    <d v="2025-09-24T00:00:00"/>
    <s v="BCP"/>
    <n v="57090910922067"/>
    <s v=""/>
    <s v="FINALIZADO"/>
    <d v="2025-10-01T00:00:00"/>
    <s v="SI"/>
    <s v="SI"/>
    <s v="SI"/>
    <n v="0"/>
    <s v=""/>
    <s v="10476141023_LUIS ALBERTO ANHUAMAN AZABACHE"/>
    <s v="CALLE SAN DIEGO 269 URB LAS DELICIAS EL TRIANGULO LA LIBERTAD - TRUJILLO - MOCHE"/>
    <s v="51 957866802"/>
    <d v="2025-10-01T00:00:00"/>
    <s v="Priscila Quispe (pquispe@tandia.pe)"/>
    <d v="2025-10-31T00:00:00"/>
    <d v="2025-09-30T00:00:00"/>
    <s v="finalizado"/>
    <n v="2000"/>
    <n v="19.649999999999999"/>
    <n v="0"/>
    <n v="0"/>
    <n v="2019.65"/>
    <n v="0"/>
    <n v="2000"/>
    <n v="19.649999999999999"/>
    <n v="0"/>
    <n v="0"/>
    <n v="2019.65"/>
    <n v="0"/>
    <m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n v="0.01"/>
    <n v="0"/>
    <n v="0"/>
    <x v="0"/>
  </r>
  <r>
    <x v="1"/>
    <n v="202510"/>
    <n v="3.375"/>
    <s v="LH-100003"/>
    <s v="LH-43770868029"/>
    <s v="Persona Juridica"/>
    <s v="Nuevo"/>
    <s v="DNI"/>
    <n v="41816681"/>
    <s v="FERNANDO RIVELINO CASTRO FABIAN "/>
    <n v="20611306751"/>
    <s v="BLACK FOODS S.A.C."/>
    <s v="fernando.castro@blackfoodsperu.com"/>
    <s v="A"/>
    <s v="CUOTA FIJA"/>
    <s v="SOLES"/>
    <n v="12"/>
    <n v="5000"/>
    <n v="5000"/>
    <n v="2.7799999999999998E-2"/>
    <n v="0.3896"/>
    <m/>
    <m/>
    <s v=""/>
    <d v="2025-09-26T00:00:00"/>
    <s v="BCP"/>
    <n v="1917094078051"/>
    <s v=""/>
    <s v="VIGENTE"/>
    <m/>
    <s v="SI"/>
    <s v="SI"/>
    <s v="SI"/>
    <n v="0"/>
    <s v=""/>
    <s v="20611306751_BLACK FOODS S.A.C."/>
    <s v="CAL.LAS TURQUESAS NRO. 409 URB. BALCONCILLO (PISO 3) LIMA - LIMA - LA VICTORIA"/>
    <s v="51 943367679"/>
    <m/>
    <s v="Priscila Quispe (pquispe@tandia.pe)"/>
    <m/>
    <d v="2025-09-30T00:00:00"/>
    <s v="vigente"/>
    <n v="0"/>
    <n v="0"/>
    <n v="0"/>
    <n v="0"/>
    <n v="0"/>
    <n v="5000"/>
    <n v="0"/>
    <n v="0"/>
    <n v="0"/>
    <n v="0"/>
    <n v="0"/>
    <n v="5000"/>
    <d v="2025-11-1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n v="0.01"/>
    <n v="50"/>
    <n v="50"/>
    <x v="0"/>
  </r>
  <r>
    <x v="1"/>
    <n v="202510"/>
    <n v="3.375"/>
    <s v="LH-100004"/>
    <s v="LH-43765591113"/>
    <s v="Persona Juridica"/>
    <s v="Nuevo"/>
    <s v="DNI"/>
    <n v="46135290"/>
    <s v="LUIS ALBERTO CORDOVA CHAVEZ "/>
    <n v="20603035420"/>
    <s v="PASE &amp; COMA CATERING E.I.R.L. - PASE &amp; COMA E.I.R.L."/>
    <s v="gerencia@paseycoma.com"/>
    <s v="B"/>
    <s v="CUOTA FIJA"/>
    <s v="SOLES"/>
    <n v="12"/>
    <n v="3000"/>
    <n v="3000"/>
    <n v="3.3300000000000003E-2"/>
    <n v="0.48159999999999997"/>
    <m/>
    <m/>
    <s v=""/>
    <d v="2025-09-29T00:00:00"/>
    <s v="BCP"/>
    <n v="19190087709084"/>
    <s v=""/>
    <s v="VIGENTE"/>
    <m/>
    <s v="SI"/>
    <s v="SI"/>
    <s v="SI"/>
    <n v="0"/>
    <s v=""/>
    <s v="20603035420_PASE &amp; COMA CATERING E.I.R.L. - PASE &amp; COMA E.I.R.L."/>
    <s v="AV. 28 DE JULIO MZ.F1A LT.8A, ASOC. DE VIVIENDA EL DORADO LIMA - LIMA - PUENTE PIEDRA"/>
    <s v="51 987204800"/>
    <m/>
    <s v="Priscila Quispe (pquispe@tandia.pe)"/>
    <m/>
    <d v="2025-09-30T00:00:00"/>
    <s v="vigente"/>
    <n v="0"/>
    <n v="0"/>
    <n v="0"/>
    <n v="0"/>
    <n v="0"/>
    <n v="3000"/>
    <n v="0"/>
    <n v="0"/>
    <n v="0"/>
    <n v="0"/>
    <n v="0"/>
    <n v="3000"/>
    <d v="2025-11-2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n v="0.01"/>
    <n v="30"/>
    <n v="30"/>
    <x v="0"/>
  </r>
  <r>
    <x v="1"/>
    <n v="202510"/>
    <n v="3.375"/>
    <s v="LH-100005"/>
    <s v="LH-43763437329"/>
    <s v="Natural con Negocio"/>
    <s v="Nuevo"/>
    <s v="DNI"/>
    <n v="74080162"/>
    <s v="LUGO VALENZUELA GIANFRANCO EDGAR"/>
    <n v="10740801622"/>
    <s v="LUGO VALENZUELA GIANFRANCO EDGAR"/>
    <s v="jcsuarez.1105@gmail.com"/>
    <s v="A"/>
    <s v="CUOTA FIJA"/>
    <s v="SOLES"/>
    <n v="6"/>
    <n v="5000"/>
    <n v="5000"/>
    <n v="2.58E-2"/>
    <n v="0.35749999999999998"/>
    <m/>
    <m/>
    <s v=""/>
    <d v="2025-09-30T00:00:00"/>
    <s v="IBK"/>
    <n v="3.1260133132857619E+17"/>
    <s v=""/>
    <s v="VIGENTE"/>
    <m/>
    <s v="SI"/>
    <s v="SI"/>
    <s v="SI"/>
    <n v="0"/>
    <s v=""/>
    <s v="10740801622_GIANFRANCO EDGAR LUGO VALENZUELA"/>
    <s v="JR. MATEO PUMACAHUA 1040 LIMA - JESUS MARIA"/>
    <s v="51 998265935"/>
    <m/>
    <s v="Priscila Quispe (pquispe@tandia.pe)"/>
    <m/>
    <d v="2025-09-30T00:00:00"/>
    <s v="vigente"/>
    <n v="0"/>
    <n v="0"/>
    <n v="0"/>
    <n v="0"/>
    <n v="0"/>
    <n v="5000"/>
    <n v="0"/>
    <n v="0"/>
    <n v="0"/>
    <n v="0"/>
    <n v="0"/>
    <n v="5000"/>
    <d v="2025-11-2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n v="0.01"/>
    <n v="50"/>
    <n v="50"/>
    <x v="0"/>
  </r>
  <r>
    <x v="1"/>
    <n v="202510"/>
    <n v="3.375"/>
    <s v="LH-100002"/>
    <s v="LH-45224519959"/>
    <s v="Natural con Negocio"/>
    <s v="Antiguo"/>
    <s v="DNI"/>
    <n v="47614102"/>
    <s v="LUIS ALBERTO ANHUAMAN AZABACHE"/>
    <n v="10476141023"/>
    <s v="LUIS ALBERTO ANHUAMAN AZABACHE"/>
    <s v="luisanhuaman75@gmail.com"/>
    <s v="I"/>
    <s v="CUOTA FIJA"/>
    <s v="SOLES"/>
    <n v="6"/>
    <n v="4000"/>
    <n v="4000"/>
    <n v="4.65E-2"/>
    <n v="0.72529999999999994"/>
    <m/>
    <m/>
    <s v=""/>
    <d v="2025-10-01T00:00:00"/>
    <s v="BCP"/>
    <n v="57090910922067"/>
    <s v="Ampliación"/>
    <s v="VIGENTE"/>
    <m/>
    <s v="SI"/>
    <s v="SI"/>
    <s v="SI"/>
    <n v="0"/>
    <s v=""/>
    <s v="10476141023_LUIS ALBERTO ANHUAMAN AZABACHE"/>
    <s v="CALLE SAN DIEGO 269 URB LAS DELICIAS EL TRIANGULO LA LIBERTAD - TRUJILLO - MOCHE"/>
    <s v="51 957866802"/>
    <m/>
    <s v="Priscila Quispe (pquispe@tandia.pe)"/>
    <m/>
    <d v="2025-10-31T00:00:00"/>
    <s v="vigente"/>
    <n v="0"/>
    <n v="0"/>
    <n v="0"/>
    <n v="0"/>
    <n v="0"/>
    <n v="4000"/>
    <n v="0"/>
    <n v="0"/>
    <n v="0"/>
    <n v="0"/>
    <n v="0"/>
    <n v="4000"/>
    <d v="2025-11-1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000"/>
    <n v="4000"/>
    <s v="Normal"/>
    <n v="0.01"/>
    <n v="40"/>
    <n v="40"/>
    <x v="0"/>
  </r>
  <r>
    <x v="1"/>
    <n v="202510"/>
    <n v="3.375"/>
    <s v="LH-100006"/>
    <s v="LH-43772738832"/>
    <s v="Natural con Negocio"/>
    <s v="Nuevo"/>
    <s v="DNI"/>
    <n v="47550887"/>
    <s v="ANDREA DEL PILAR MARQUINA MELGAR"/>
    <n v="10475508870"/>
    <s v="ANDREA DEL PILAR MARQUINA MELGAR"/>
    <s v="andrea_frd@hotmail.com"/>
    <s v="J"/>
    <s v="CUOTA FIJA"/>
    <s v="SOLES"/>
    <n v="10"/>
    <n v="5000"/>
    <n v="5000"/>
    <n v="5.16E-2"/>
    <n v="0.82899999999999996"/>
    <m/>
    <m/>
    <s v=""/>
    <d v="2025-10-27T00:00:00"/>
    <s v="BCP"/>
    <n v="35532284031069"/>
    <s v=""/>
    <s v="VIGENTE"/>
    <m/>
    <s v="SI"/>
    <s v="SI"/>
    <s v="SI"/>
    <n v="0"/>
    <s v=""/>
    <s v="10475508870_ANDREA DEL PILAR MARQUINA MELGAR"/>
    <s v="PSJ. TORRES 133 JUNIN - HUANCAYO - EL TAMBO"/>
    <s v="51 981347931"/>
    <m/>
    <s v="Priscila Quispe (pquispe@tandia.pe)"/>
    <m/>
    <d v="2025-10-31T00:00:00"/>
    <s v="vigente"/>
    <n v="0"/>
    <n v="0"/>
    <n v="0"/>
    <n v="0"/>
    <n v="0"/>
    <n v="5000"/>
    <n v="0"/>
    <n v="0"/>
    <n v="0"/>
    <n v="0"/>
    <n v="0"/>
    <n v="5000"/>
    <d v="2025-12-0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000"/>
    <n v="5000"/>
    <s v="Normal"/>
    <n v="0.01"/>
    <n v="50"/>
    <n v="50"/>
    <x v="0"/>
  </r>
  <r>
    <x v="2"/>
    <n v="202511"/>
    <n v="3.367"/>
    <s v="LH-100001"/>
    <s v="LH-43775269304"/>
    <s v="Natural con Negocio"/>
    <s v="Nuevo"/>
    <s v="DNI"/>
    <n v="40553117"/>
    <s v="ELIZABETH CASTILLO MONTERO"/>
    <n v="10405531173"/>
    <s v="ELIZABETH CASTILLO MONTERO"/>
    <s v="ECASTILLOMONTERO123@GMAIL.COM"/>
    <s v="H"/>
    <s v="CUOTA FIJA"/>
    <s v="SOLES"/>
    <n v="12"/>
    <n v="5000"/>
    <n v="5000"/>
    <n v="5.0200000000000002E-2"/>
    <n v="0.8"/>
    <n v="428.21"/>
    <n v="428.21"/>
    <s v=""/>
    <d v="2025-09-24T00:00:00"/>
    <s v="BCP"/>
    <n v="19102015634093"/>
    <s v=""/>
    <s v="VIGENTE"/>
    <m/>
    <s v="SI"/>
    <s v="SI"/>
    <s v="SI"/>
    <n v="0"/>
    <s v=""/>
    <s v="10405531173_ELIZABETH CASTILLO MONTERO"/>
    <s v="JR. EUSEBIO GALVEZ SIQUERIA 332 - LIMA - SAN MARTIN DE PORRES"/>
    <s v="51 943255543"/>
    <m/>
    <s v="Priscila Quispe (pquispe@tandia.pe)"/>
    <m/>
    <d v="2025-09-30T00:00:00"/>
    <s v="vigente"/>
    <n v="313.76"/>
    <n v="346.16"/>
    <n v="0"/>
    <n v="0"/>
    <n v="659.92"/>
    <n v="4686.24"/>
    <n v="313.76"/>
    <n v="346.16"/>
    <n v="0"/>
    <n v="0"/>
    <n v="659.92"/>
    <n v="4686.24"/>
    <d v="2025-12-0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n v="0.01"/>
    <n v="46.86"/>
    <n v="46.86"/>
    <x v="0"/>
  </r>
  <r>
    <x v="2"/>
    <n v="202511"/>
    <n v="3.367"/>
    <s v="LH-100003"/>
    <s v="LH-43770868029"/>
    <s v="Persona Juridica"/>
    <s v="Nuevo"/>
    <s v="DNI"/>
    <n v="41816681"/>
    <s v="FERNANDO RIVELINO CASTRO FABIAN "/>
    <n v="20611306751"/>
    <s v="BLACK FOODS S.A.C."/>
    <s v="fernando.castro@blackfoodsperu.com"/>
    <s v="A"/>
    <s v="CUOTA FIJA"/>
    <s v="SOLES"/>
    <n v="12"/>
    <n v="5000"/>
    <n v="5000"/>
    <n v="2.7799999999999998E-2"/>
    <n v="0.3896"/>
    <m/>
    <m/>
    <s v=""/>
    <d v="2025-09-26T00:00:00"/>
    <s v="BCP"/>
    <n v="1917094078051"/>
    <s v=""/>
    <s v="VIGENTE"/>
    <m/>
    <s v="SI"/>
    <s v="SI"/>
    <s v="SI"/>
    <n v="0"/>
    <s v=""/>
    <s v="20611306751_BLACK FOODS S.A.C."/>
    <s v="CAL.LAS TURQUESAS NRO. 409 URB. BALCONCILLO (PISO 3) LIMA - LIMA - LA VICTORIA"/>
    <s v="51 943367679"/>
    <m/>
    <s v="Priscila Quispe (pquispe@tandia.pe)"/>
    <m/>
    <d v="2025-09-30T00:00:00"/>
    <s v="vigente"/>
    <n v="356.74"/>
    <n v="229.03"/>
    <n v="0"/>
    <n v="0"/>
    <n v="585.77"/>
    <n v="4643.26"/>
    <n v="356.74"/>
    <n v="229.03"/>
    <n v="0"/>
    <n v="0"/>
    <n v="585.77"/>
    <n v="4643.26"/>
    <d v="2025-12-1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n v="0.01"/>
    <n v="46.43"/>
    <n v="46.43"/>
    <x v="0"/>
  </r>
  <r>
    <x v="2"/>
    <n v="202511"/>
    <n v="3.367"/>
    <s v="LH-100004"/>
    <s v="LH-43765591113"/>
    <s v="Persona Juridica"/>
    <s v="Nuevo"/>
    <s v="DNI"/>
    <n v="46135290"/>
    <s v="LUIS ALBERTO CORDOVA CHAVEZ "/>
    <n v="20603035420"/>
    <s v="PASE &amp; COMA CATERING E.I.R.L. - PASE &amp; COMA E.I.R.L."/>
    <s v="gerencia@paseycoma.com"/>
    <s v="B"/>
    <s v="CUOTA FIJA"/>
    <s v="SOLES"/>
    <n v="12"/>
    <n v="3000"/>
    <n v="3000"/>
    <n v="3.3300000000000003E-2"/>
    <n v="0.48159999999999997"/>
    <m/>
    <m/>
    <s v=""/>
    <d v="2025-09-29T00:00:00"/>
    <s v="BCP"/>
    <n v="19190087709084"/>
    <s v=""/>
    <s v="VIGENTE"/>
    <m/>
    <s v="SI"/>
    <s v="SI"/>
    <s v="SI"/>
    <n v="0"/>
    <s v=""/>
    <s v="20603035420_PASE &amp; COMA CATERING E.I.R.L. - PASE &amp; COMA E.I.R.L."/>
    <s v="AV. 28 DE JULIO MZ.F1A LT.8A, ASOC. DE VIVIENDA EL DORADO LIMA - LIMA - PUENTE PIEDRA"/>
    <s v="51 987204800"/>
    <m/>
    <s v="Priscila Quispe (pquispe@tandia.pe)"/>
    <m/>
    <d v="2025-09-30T00:00:00"/>
    <s v="vigente"/>
    <n v="207.45"/>
    <n v="189.17"/>
    <n v="0"/>
    <n v="0"/>
    <n v="396.62"/>
    <n v="2792.55"/>
    <n v="207.45"/>
    <n v="189.17"/>
    <n v="0"/>
    <n v="0"/>
    <n v="396.62"/>
    <n v="2792.55"/>
    <d v="2025-12-2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n v="0.01"/>
    <n v="27.93"/>
    <n v="27.93"/>
    <x v="0"/>
  </r>
  <r>
    <x v="2"/>
    <n v="202511"/>
    <n v="3.367"/>
    <s v="LH-100005"/>
    <s v="LH-43763437329"/>
    <s v="Natural con Negocio"/>
    <s v="Nuevo"/>
    <s v="DNI"/>
    <n v="74080162"/>
    <s v="LUGO VALENZUELA GIANFRANCO EDGAR"/>
    <n v="10740801622"/>
    <s v="LUGO VALENZUELA GIANFRANCO EDGAR"/>
    <s v="jcsuarez.1105@gmail.com"/>
    <s v="A"/>
    <s v="CUOTA FIJA"/>
    <s v="SOLES"/>
    <n v="6"/>
    <n v="5000"/>
    <n v="5000"/>
    <n v="2.58E-2"/>
    <n v="0.35749999999999998"/>
    <m/>
    <m/>
    <s v=""/>
    <d v="2025-09-30T00:00:00"/>
    <s v="IBK"/>
    <n v="3.1260133132857619E+17"/>
    <s v=""/>
    <s v="VIGENTE"/>
    <m/>
    <s v="SI"/>
    <s v="SI"/>
    <s v="SI"/>
    <n v="0"/>
    <s v=""/>
    <s v="10740801622_GIANFRANCO EDGAR LUGO VALENZUELA"/>
    <s v="JR. MATEO PUMACAHUA 1040 LIMA - JESUS MARIA"/>
    <s v="51 998265935"/>
    <m/>
    <s v="Priscila Quispe (pquispe@tandia.pe)"/>
    <m/>
    <d v="2025-09-30T00:00:00"/>
    <s v="vigente"/>
    <n v="781.18"/>
    <n v="239.04"/>
    <n v="0"/>
    <n v="0"/>
    <n v="1020.22"/>
    <n v="4218.82"/>
    <n v="781.18"/>
    <n v="239.04"/>
    <n v="0"/>
    <n v="0"/>
    <n v="1020.22"/>
    <n v="4218.82"/>
    <d v="2025-12-2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n v="0.01"/>
    <n v="42.19"/>
    <n v="42.19"/>
    <x v="0"/>
  </r>
  <r>
    <x v="2"/>
    <n v="202511"/>
    <n v="3.367"/>
    <s v="LH-100002"/>
    <s v="LH-45224519959"/>
    <s v="Natural con Negocio"/>
    <s v="Antiguo"/>
    <s v="DNI"/>
    <n v="47614102"/>
    <s v="LUIS ALBERTO ANHUAMAN AZABACHE"/>
    <n v="10476141023"/>
    <s v="LUIS ALBERTO ANHUAMAN AZABACHE"/>
    <s v="luisanhuaman75@gmail.com"/>
    <s v="I"/>
    <s v="CUOTA FIJA"/>
    <s v="SOLES"/>
    <n v="6"/>
    <n v="4000"/>
    <n v="4000"/>
    <n v="4.65E-2"/>
    <n v="0.72529999999999994"/>
    <m/>
    <m/>
    <s v=""/>
    <d v="2025-10-01T00:00:00"/>
    <s v="BCP"/>
    <n v="57090910922067"/>
    <s v="Ampliación"/>
    <s v="VIGENTE"/>
    <m/>
    <s v="SI"/>
    <s v="SI"/>
    <s v="SI"/>
    <n v="0"/>
    <s v=""/>
    <s v="10476141023_LUIS ALBERTO ANHUAMAN AZABACHE"/>
    <s v="CALLE SAN DIEGO 269 URB LAS DELICIAS EL TRIANGULO LA LIBERTAD - TRUJILLO - MOCHE"/>
    <s v="51 957866802"/>
    <m/>
    <s v="Priscila Quispe (pquispe@tandia.pe)"/>
    <m/>
    <d v="2025-10-31T00:00:00"/>
    <s v="vigente"/>
    <n v="593.27"/>
    <n v="275.74"/>
    <n v="17.21"/>
    <n v="5.16"/>
    <n v="891.38"/>
    <n v="3406.73"/>
    <n v="593.27"/>
    <n v="275.74"/>
    <n v="17.21"/>
    <n v="5.16"/>
    <n v="891.38"/>
    <n v="3406.73"/>
    <d v="2025-12-1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n v="0.01"/>
    <n v="34.07"/>
    <n v="34.07"/>
    <x v="0"/>
  </r>
  <r>
    <x v="2"/>
    <n v="202511"/>
    <n v="3.367"/>
    <s v="LH-100006"/>
    <s v="LH-43772738832"/>
    <s v="Natural con Negocio"/>
    <s v="Nuevo"/>
    <s v="DNI"/>
    <n v="47550887"/>
    <s v="ANDREA DEL PILAR MARQUINA MELGAR"/>
    <n v="10475508870"/>
    <s v="ANDREA DEL PILAR MARQUINA MELGAR"/>
    <s v="andrea_frd@hotmail.com"/>
    <s v="J"/>
    <s v="CUOTA FIJA"/>
    <s v="SOLES"/>
    <n v="10"/>
    <n v="5000"/>
    <n v="5000"/>
    <n v="5.16E-2"/>
    <n v="0.82899999999999996"/>
    <m/>
    <m/>
    <s v=""/>
    <d v="2025-10-27T00:00:00"/>
    <s v="BCP"/>
    <n v="35532284031069"/>
    <s v=""/>
    <s v="VIGENTE"/>
    <m/>
    <s v="SI"/>
    <s v="SI"/>
    <s v="SI"/>
    <n v="0"/>
    <s v=""/>
    <s v="10475508870_ANDREA DEL PILAR MARQUINA MELGAR"/>
    <s v="PSJ. TORRES 133 JUNIN - HUANCAYO - EL TAMBO"/>
    <s v="51 981347931"/>
    <m/>
    <s v="Priscila Quispe (pquispe@tandia.pe)"/>
    <m/>
    <d v="2025-10-31T00:00:00"/>
    <s v="vigente"/>
    <n v="0"/>
    <n v="0"/>
    <n v="0"/>
    <n v="0"/>
    <n v="0"/>
    <n v="5000"/>
    <n v="0"/>
    <n v="0"/>
    <n v="0"/>
    <n v="0"/>
    <n v="0"/>
    <n v="5000"/>
    <d v="2025-12-0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n v="0.01"/>
    <n v="50"/>
    <n v="50"/>
    <x v="0"/>
  </r>
  <r>
    <x v="2"/>
    <n v="202511"/>
    <n v="3.367"/>
    <s v="LH-100007"/>
    <s v="LH-43768686926"/>
    <s v="Persona Juridica"/>
    <s v="Nuevo"/>
    <s v="DNI"/>
    <n v="43658376"/>
    <s v="ELIZABETH MEDINA TAMPI"/>
    <n v="20605815368"/>
    <s v="ALUXES E.I.R.L."/>
    <s v="eli.mt.gestion@gmail.com"/>
    <s v="B"/>
    <s v="CUOTA FIJA"/>
    <s v="SOLES"/>
    <n v="6"/>
    <n v="5000"/>
    <n v="5000"/>
    <n v="3.27E-2"/>
    <n v="0.4713"/>
    <m/>
    <m/>
    <s v=""/>
    <d v="2025-11-24T00:00:00"/>
    <s v="BBVA"/>
    <n v="1.1157000200678295E+18"/>
    <s v=""/>
    <s v="VIGENTE"/>
    <m/>
    <s v="SI"/>
    <s v="SI"/>
    <s v="SI"/>
    <n v="0"/>
    <s v=""/>
    <s v="20605815368_ALUXES E.I.R.L."/>
    <s v="EDILBERTO RAMOS MZA. S3 LOTE. 31 INT. B P.J. PAMPLONA ALTA - LIMA - SAN JUAN DE MIRAFLORES"/>
    <s v="51 977157434"/>
    <m/>
    <s v="Priscila García (pgarcia@tandia.pe)"/>
    <m/>
    <d v="2025-11-30T00:00:00"/>
    <s v="vigente"/>
    <n v="0"/>
    <n v="0"/>
    <n v="0"/>
    <n v="0"/>
    <n v="0"/>
    <n v="5000"/>
    <n v="0"/>
    <n v="0"/>
    <n v="0"/>
    <n v="0"/>
    <n v="0"/>
    <n v="5000"/>
    <d v="2025-12-25T00:00:00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000"/>
    <n v="5000"/>
    <s v="Normal"/>
    <n v="0.01"/>
    <n v="50"/>
    <n v="50"/>
    <x v="0"/>
  </r>
  <r>
    <x v="3"/>
    <n v="202512"/>
    <n v="3.5"/>
    <s v="LH-100001"/>
    <s v="LH-43775269304"/>
    <s v="Natural con Negocio"/>
    <s v="Nuevo"/>
    <s v="DNI"/>
    <n v="40553117"/>
    <s v="ELIZABETH CASTILLO MONTERO"/>
    <n v="10405531173"/>
    <s v="ELIZABETH CASTILLO MONTERO"/>
    <s v="ECASTILLOMONTERO123@GMAIL.COM"/>
    <s v="H"/>
    <s v="CUOTA FIJA"/>
    <s v="SOLES"/>
    <n v="12"/>
    <n v="5000"/>
    <n v="5000"/>
    <n v="5.0200000000000002E-2"/>
    <n v="0.8"/>
    <n v="428.21"/>
    <n v="428.21"/>
    <s v=""/>
    <d v="2025-09-24T00:00:00"/>
    <s v="BCP"/>
    <n v="19102015634093"/>
    <s v=""/>
    <s v="VIGENTE"/>
    <m/>
    <s v="SI"/>
    <s v="SI"/>
    <s v="SI"/>
    <n v="0"/>
    <s v=""/>
    <s v="10405531173_ELIZABETH CASTILLO MONTERO"/>
    <s v="JR. EUSEBIO GALVEZ SIQUERIA 332 - LIMA - SAN MARTIN DE PORRES"/>
    <s v="51 943255543"/>
    <m/>
    <s v="Priscila Quispe (pquispe@tandia.pe)"/>
    <m/>
    <d v="2025-09-30T00:00:00"/>
    <s v="vigente"/>
    <n v="313.76"/>
    <n v="346.16"/>
    <n v="0"/>
    <n v="0"/>
    <n v="659.92"/>
    <n v="4686.24"/>
    <n v="313.76"/>
    <n v="346.16"/>
    <n v="0"/>
    <n v="0"/>
    <n v="659.92"/>
    <n v="4686.24"/>
    <d v="2025-12-05T00:00:00"/>
    <n v="26"/>
    <x v="1"/>
    <n v="4686.24"/>
    <n v="4686.24"/>
    <n v="0"/>
    <n v="0"/>
    <n v="0"/>
    <n v="0"/>
    <n v="0"/>
    <n v="0"/>
    <n v="0"/>
    <n v="4686.24"/>
    <n v="4686.24"/>
    <n v="0"/>
    <n v="0"/>
    <n v="0"/>
    <n v="0"/>
    <n v="0"/>
    <n v="0"/>
    <n v="0"/>
    <n v="0"/>
    <n v="0"/>
    <n v="0"/>
    <s v="CPP"/>
    <n v="0.05"/>
    <n v="234.31"/>
    <n v="234.31"/>
    <x v="0"/>
  </r>
  <r>
    <x v="3"/>
    <n v="202512"/>
    <n v="3.5"/>
    <s v="LH-100003"/>
    <s v="LH-43770868029"/>
    <s v="Persona Juridica"/>
    <s v="Nuevo"/>
    <s v="DNI"/>
    <n v="41816681"/>
    <s v="FERNANDO RIVELINO CASTRO FABIAN "/>
    <n v="20611306751"/>
    <s v="BLACK FOODS S.A.C."/>
    <s v="fernando.castro@blackfoodsperu.com"/>
    <s v="A"/>
    <s v="CUOTA FIJA"/>
    <s v="SOLES"/>
    <n v="12"/>
    <n v="5000"/>
    <n v="5000"/>
    <n v="2.7799999999999998E-2"/>
    <n v="0.3896"/>
    <m/>
    <m/>
    <s v=""/>
    <d v="2025-09-26T00:00:00"/>
    <s v="BCP"/>
    <n v="1917094078051"/>
    <s v=""/>
    <s v="VIGENTE"/>
    <m/>
    <s v="SI"/>
    <s v="SI"/>
    <s v="SI"/>
    <n v="0"/>
    <s v=""/>
    <s v="20611306751_BLACK FOODS S.A.C."/>
    <s v="CAL.LAS TURQUESAS NRO. 409 URB. BALCONCILLO (PISO 3) LIMA - LIMA - LA VICTORIA"/>
    <s v="51 943367679"/>
    <m/>
    <s v="Priscila Quispe (pquispe@tandia.pe)"/>
    <m/>
    <d v="2025-09-30T00:00:00"/>
    <s v="vigente"/>
    <n v="356.74"/>
    <n v="229.03"/>
    <n v="0"/>
    <n v="0"/>
    <n v="585.77"/>
    <n v="4643.26"/>
    <n v="356.74"/>
    <n v="229.03"/>
    <n v="0"/>
    <n v="0"/>
    <n v="585.77"/>
    <n v="4643.26"/>
    <d v="2025-12-15T00:00:00"/>
    <n v="16"/>
    <x v="1"/>
    <n v="4643.26"/>
    <n v="4643.26"/>
    <n v="0"/>
    <n v="0"/>
    <n v="0"/>
    <n v="0"/>
    <n v="0"/>
    <n v="0"/>
    <n v="0"/>
    <n v="4643.26"/>
    <n v="4643.26"/>
    <n v="0"/>
    <n v="0"/>
    <n v="0"/>
    <n v="0"/>
    <n v="0"/>
    <n v="0"/>
    <n v="0"/>
    <n v="0"/>
    <n v="0"/>
    <n v="0"/>
    <s v="CPP"/>
    <n v="0.05"/>
    <n v="232.16"/>
    <n v="232.16"/>
    <x v="0"/>
  </r>
  <r>
    <x v="3"/>
    <n v="202512"/>
    <n v="3.5"/>
    <s v="LH-100004"/>
    <s v="LH-43765591113"/>
    <s v="Persona Juridica"/>
    <s v="Nuevo"/>
    <s v="DNI"/>
    <n v="46135290"/>
    <s v="LUIS ALBERTO CORDOVA CHAVEZ "/>
    <n v="20603035420"/>
    <s v="PASE &amp; COMA CATERING E.I.R.L. - PASE &amp; COMA E.I.R.L."/>
    <s v="gerencia@paseycoma.com"/>
    <s v="B"/>
    <s v="CUOTA FIJA"/>
    <s v="SOLES"/>
    <n v="12"/>
    <n v="3000"/>
    <n v="3000"/>
    <n v="3.3300000000000003E-2"/>
    <n v="0.48159999999999997"/>
    <m/>
    <m/>
    <s v=""/>
    <d v="2025-09-29T00:00:00"/>
    <s v="BCP"/>
    <n v="19190087709084"/>
    <s v=""/>
    <s v="VIGENTE"/>
    <m/>
    <s v="SI"/>
    <s v="SI"/>
    <s v="SI"/>
    <n v="0"/>
    <s v=""/>
    <s v="20603035420_PASE &amp; COMA CATERING E.I.R.L. - PASE &amp; COMA E.I.R.L."/>
    <s v="AV. 28 DE JULIO MZ.F1A LT.8A, ASOC. DE VIVIENDA EL DORADO LIMA - LIMA - PUENTE PIEDRA"/>
    <s v="51 987204800"/>
    <m/>
    <s v="Priscila Quispe (pquispe@tandia.pe)"/>
    <m/>
    <d v="2025-09-30T00:00:00"/>
    <s v="vigente"/>
    <n v="207.45"/>
    <n v="189.17"/>
    <n v="0"/>
    <n v="0"/>
    <n v="396.62"/>
    <n v="2792.55"/>
    <n v="207.45"/>
    <n v="189.17"/>
    <n v="0"/>
    <n v="0"/>
    <n v="396.62"/>
    <n v="2792.55"/>
    <d v="2025-12-25T00:00:00"/>
    <n v="6"/>
    <x v="2"/>
    <n v="2792.55"/>
    <n v="0"/>
    <n v="0"/>
    <n v="0"/>
    <n v="0"/>
    <n v="0"/>
    <n v="0"/>
    <n v="0"/>
    <n v="0"/>
    <n v="2792.55"/>
    <n v="0"/>
    <n v="0"/>
    <n v="0"/>
    <n v="0"/>
    <n v="0"/>
    <n v="0"/>
    <n v="0"/>
    <n v="0"/>
    <n v="0"/>
    <n v="0"/>
    <n v="0"/>
    <s v="Normal"/>
    <n v="0.01"/>
    <n v="27.93"/>
    <n v="27.93"/>
    <x v="0"/>
  </r>
  <r>
    <x v="3"/>
    <n v="202512"/>
    <n v="3.5"/>
    <s v="LH-100005"/>
    <s v="LH-43763437329"/>
    <s v="Natural con Negocio"/>
    <s v="Nuevo"/>
    <s v="DNI"/>
    <n v="74080162"/>
    <s v="LUGO VALENZUELA GIANFRANCO EDGAR"/>
    <n v="10740801622"/>
    <s v="LUGO VALENZUELA GIANFRANCO EDGAR"/>
    <s v="jcsuarez.1105@gmail.com"/>
    <s v="A"/>
    <s v="CUOTA FIJA"/>
    <s v="SOLES"/>
    <n v="6"/>
    <n v="5000"/>
    <n v="5000"/>
    <n v="2.58E-2"/>
    <n v="0.35749999999999998"/>
    <m/>
    <m/>
    <s v=""/>
    <d v="2025-09-30T00:00:00"/>
    <s v="IBK"/>
    <n v="3.1260133132857619E+17"/>
    <s v=""/>
    <s v="VIGENTE"/>
    <m/>
    <s v="SI"/>
    <s v="SI"/>
    <s v="SI"/>
    <n v="0"/>
    <s v=""/>
    <s v="10740801622_GIANFRANCO EDGAR LUGO VALENZUELA"/>
    <s v="JR. MATEO PUMACAHUA 1040 LIMA - JESUS MARIA"/>
    <s v="51 998265935"/>
    <m/>
    <s v="Priscila Quispe (pquispe@tandia.pe)"/>
    <m/>
    <d v="2025-09-30T00:00:00"/>
    <s v="vigente"/>
    <n v="781.18"/>
    <n v="239.04"/>
    <n v="0"/>
    <n v="0"/>
    <n v="1020.22"/>
    <n v="4218.82"/>
    <n v="781.18"/>
    <n v="239.04"/>
    <n v="0"/>
    <n v="0"/>
    <n v="1020.22"/>
    <n v="4218.82"/>
    <d v="2025-12-25T00:00:00"/>
    <n v="6"/>
    <x v="2"/>
    <n v="4218.82"/>
    <n v="0"/>
    <n v="0"/>
    <n v="0"/>
    <n v="0"/>
    <n v="0"/>
    <n v="0"/>
    <n v="0"/>
    <n v="0"/>
    <n v="4218.82"/>
    <n v="0"/>
    <n v="0"/>
    <n v="0"/>
    <n v="0"/>
    <n v="0"/>
    <n v="0"/>
    <n v="0"/>
    <n v="0"/>
    <n v="0"/>
    <n v="0"/>
    <n v="0"/>
    <s v="Normal"/>
    <n v="0.01"/>
    <n v="42.19"/>
    <n v="42.19"/>
    <x v="0"/>
  </r>
  <r>
    <x v="3"/>
    <n v="202512"/>
    <n v="3.5"/>
    <s v="LH-100002"/>
    <s v="LH-45224519959"/>
    <s v="Natural con Negocio"/>
    <s v="Antiguo"/>
    <s v="DNI"/>
    <n v="47614102"/>
    <s v="LUIS ALBERTO ANHUAMAN AZABACHE"/>
    <n v="10476141023"/>
    <s v="LUIS ALBERTO ANHUAMAN AZABACHE"/>
    <s v="luisanhuaman75@gmail.com"/>
    <s v="I"/>
    <s v="CUOTA FIJA"/>
    <s v="SOLES"/>
    <n v="6"/>
    <n v="4000"/>
    <n v="4000"/>
    <n v="4.65E-2"/>
    <n v="0.72529999999999994"/>
    <m/>
    <m/>
    <s v=""/>
    <d v="2025-10-01T00:00:00"/>
    <s v="BCP"/>
    <n v="57090910922067"/>
    <s v="Ampliación"/>
    <s v="VIGENTE"/>
    <m/>
    <s v="SI"/>
    <s v="SI"/>
    <s v="SI"/>
    <n v="0"/>
    <s v=""/>
    <s v="10476141023_LUIS ALBERTO ANHUAMAN AZABACHE"/>
    <s v="CALLE SAN DIEGO 269 URB LAS DELICIAS EL TRIANGULO LA LIBERTAD - TRUJILLO - MOCHE"/>
    <s v="51 957866802"/>
    <m/>
    <s v="Priscila Quispe (pquispe@tandia.pe)"/>
    <m/>
    <d v="2025-10-31T00:00:00"/>
    <s v="vigente"/>
    <n v="593.27"/>
    <n v="275.74"/>
    <n v="17.21"/>
    <n v="5.16"/>
    <n v="891.38"/>
    <n v="3406.73"/>
    <n v="593.27"/>
    <n v="275.74"/>
    <n v="17.21"/>
    <n v="5.16"/>
    <n v="891.38"/>
    <n v="3406.73"/>
    <d v="2025-12-15T00:00:00"/>
    <n v="16"/>
    <x v="1"/>
    <n v="3406.73"/>
    <n v="3406.73"/>
    <n v="0"/>
    <n v="0"/>
    <n v="0"/>
    <n v="0"/>
    <n v="0"/>
    <n v="0"/>
    <n v="0"/>
    <n v="3406.73"/>
    <n v="3406.73"/>
    <n v="0"/>
    <n v="0"/>
    <n v="0"/>
    <n v="0"/>
    <n v="0"/>
    <n v="0"/>
    <n v="0"/>
    <n v="0"/>
    <n v="0"/>
    <n v="0"/>
    <s v="CPP"/>
    <n v="0.05"/>
    <n v="170.34"/>
    <n v="170.34"/>
    <x v="0"/>
  </r>
  <r>
    <x v="3"/>
    <n v="202512"/>
    <n v="3.5"/>
    <s v="LH-100006"/>
    <s v="LH-43772738832"/>
    <s v="Natural con Negocio"/>
    <s v="Nuevo"/>
    <s v="DNI"/>
    <n v="47550887"/>
    <s v="ANDREA DEL PILAR MARQUINA MELGAR"/>
    <n v="10475508870"/>
    <s v="ANDREA DEL PILAR MARQUINA MELGAR"/>
    <s v="andrea_frd@hotmail.com"/>
    <s v="J"/>
    <s v="CUOTA FIJA"/>
    <s v="SOLES"/>
    <n v="10"/>
    <n v="5000"/>
    <n v="5000"/>
    <n v="5.16E-2"/>
    <n v="0.82899999999999996"/>
    <m/>
    <m/>
    <s v=""/>
    <d v="2025-10-27T00:00:00"/>
    <s v="BCP"/>
    <n v="35532284031069"/>
    <s v=""/>
    <s v="VIGENTE"/>
    <m/>
    <s v="SI"/>
    <s v="SI"/>
    <s v="SI"/>
    <n v="0"/>
    <s v=""/>
    <s v="10475508870_ANDREA DEL PILAR MARQUINA MELGAR"/>
    <s v="PSJ. TORRES 133 JUNIN - HUANCAYO - EL TAMBO"/>
    <s v="51 981347931"/>
    <m/>
    <s v="Priscila Quispe (pquispe@tandia.pe)"/>
    <m/>
    <d v="2025-10-31T00:00:00"/>
    <s v="vigente"/>
    <n v="0"/>
    <n v="0"/>
    <n v="0"/>
    <n v="0"/>
    <n v="0"/>
    <n v="5000"/>
    <n v="0"/>
    <n v="0"/>
    <n v="0"/>
    <n v="0"/>
    <n v="0"/>
    <n v="5000"/>
    <d v="2025-12-05T00:00:00"/>
    <n v="26"/>
    <x v="1"/>
    <n v="5000"/>
    <n v="5000"/>
    <n v="0"/>
    <n v="0"/>
    <n v="0"/>
    <n v="0"/>
    <n v="0"/>
    <n v="0"/>
    <n v="0"/>
    <n v="5000"/>
    <n v="5000"/>
    <n v="0"/>
    <n v="0"/>
    <n v="0"/>
    <n v="0"/>
    <n v="0"/>
    <n v="0"/>
    <n v="0"/>
    <n v="0"/>
    <n v="0"/>
    <n v="0"/>
    <s v="CPP"/>
    <n v="0.05"/>
    <n v="250"/>
    <n v="250"/>
    <x v="0"/>
  </r>
  <r>
    <x v="3"/>
    <n v="202512"/>
    <n v="3.5"/>
    <s v="LH-100007"/>
    <s v="LH-43768686926"/>
    <s v="Persona Juridica"/>
    <s v="Nuevo"/>
    <s v="DNI"/>
    <n v="43658376"/>
    <s v="ELIZABETH MEDINA TAMPI"/>
    <n v="20605815368"/>
    <s v="ALUXES E.I.R.L."/>
    <s v="eli.mt.gestion@gmail.com"/>
    <s v="B"/>
    <s v="CUOTA FIJA"/>
    <s v="SOLES"/>
    <n v="6"/>
    <n v="5000"/>
    <n v="5000"/>
    <n v="3.27E-2"/>
    <n v="0.4713"/>
    <m/>
    <m/>
    <s v=""/>
    <d v="2025-11-24T00:00:00"/>
    <s v="BBVA"/>
    <n v="1.1157000200678295E+18"/>
    <s v=""/>
    <s v="VIGENTE"/>
    <m/>
    <s v="SI"/>
    <s v="SI"/>
    <s v="SI"/>
    <n v="0"/>
    <s v=""/>
    <s v="20605815368_ALUXES E.I.R.L."/>
    <s v="EDILBERTO RAMOS MZA. S3 LOTE. 31 INT. B P.J. PAMPLONA ALTA - LIMA - SAN JUAN DE MIRAFLORES"/>
    <s v="51 977157434"/>
    <m/>
    <s v="Priscila García (pgarcia@tandia.pe)"/>
    <m/>
    <d v="2025-11-30T00:00:00"/>
    <s v="vigente"/>
    <n v="0"/>
    <n v="0"/>
    <n v="0"/>
    <n v="0"/>
    <n v="0"/>
    <n v="5000"/>
    <n v="0"/>
    <n v="0"/>
    <n v="0"/>
    <n v="0"/>
    <n v="0"/>
    <n v="5000"/>
    <d v="2025-12-25T00:00:00"/>
    <n v="6"/>
    <x v="2"/>
    <n v="5000"/>
    <n v="0"/>
    <n v="0"/>
    <n v="0"/>
    <n v="0"/>
    <n v="0"/>
    <n v="0"/>
    <n v="0"/>
    <n v="0"/>
    <n v="5000"/>
    <n v="0"/>
    <n v="0"/>
    <n v="0"/>
    <n v="0"/>
    <n v="0"/>
    <n v="0"/>
    <n v="0"/>
    <n v="0"/>
    <n v="0"/>
    <n v="0"/>
    <n v="0"/>
    <s v="Normal"/>
    <n v="0.01"/>
    <n v="50"/>
    <n v="50"/>
    <x v="0"/>
  </r>
  <r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B42F0-F0B7-4E09-9C6A-BE2B9A4351EC}" name="TablaDinámica9" cacheId="12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>
  <location ref="H3:L7" firstHeaderRow="1" firstDataRow="2" firstDataCol="1"/>
  <pivotFields count="86">
    <pivotField axis="axisCol"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Row" showAll="0" defaultSubtotal="0">
      <items count="4">
        <item x="0"/>
        <item x="2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h="1" sd="0" x="12"/>
        <item h="1" sd="0" x="13"/>
      </items>
    </pivotField>
  </pivotFields>
  <rowFields count="1">
    <field x="57"/>
  </rowFields>
  <rowItems count="3">
    <i>
      <x/>
    </i>
    <i>
      <x v="1"/>
    </i>
    <i>
      <x v="2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a de Saldo Capital_soles" fld="54" baseField="0" baseItem="0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94" name="Fecha_corte">
      <autoFilter ref="A1">
        <filterColumn colId="0">
          <customFilters and="1">
            <customFilter operator="greaterThanOrEqual" val="45901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4AD70-6A05-46B4-A0B4-897A4FF8C467}" name="TablaDinámica8" cacheId="12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>
  <location ref="B3:F7" firstHeaderRow="1" firstDataRow="2" firstDataCol="1"/>
  <pivotFields count="86">
    <pivotField axis="axisCol"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4">
        <item x="0"/>
        <item x="2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h="1" sd="0" x="12"/>
        <item h="1" sd="0" x="13"/>
      </items>
    </pivotField>
  </pivotFields>
  <rowFields count="1">
    <field x="57"/>
  </rowFields>
  <rowItems count="3">
    <i>
      <x/>
    </i>
    <i>
      <x v="1"/>
    </i>
    <i>
      <x v="2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a de Provision_soles" fld="82" baseField="0" baseItem="0" numFmtId="43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90" name="Fecha_corte">
      <autoFilter ref="A1">
        <filterColumn colId="0">
          <customFilters and="1">
            <customFilter operator="greaterThanOrEqual" val="45901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07861-5560-4044-B08D-F7CF8FBDC42E}" name="TablaDinámica12" cacheId="12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>
  <location ref="H17:L19" firstHeaderRow="1" firstDataRow="2" firstDataCol="1"/>
  <pivotFields count="86">
    <pivotField axis="axisCol"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4">
        <item x="0"/>
        <item x="2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h="1" sd="0" x="12"/>
        <item h="1" sd="0" x="13"/>
      </items>
    </pivotField>
  </pivotFields>
  <rowItems count="1">
    <i/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a de par 60_soles" fld="70" baseField="0" baseItem="0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90" name="Fecha_corte">
      <autoFilter ref="A1">
        <filterColumn colId="0">
          <customFilters and="1">
            <customFilter operator="greaterThanOrEqual" val="45901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DC41E-F444-4E06-A207-A08811439F52}" name="TablaDinámica11" cacheId="12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>
  <location ref="H12:L14" firstHeaderRow="1" firstDataRow="2" firstDataCol="1"/>
  <pivotFields count="86">
    <pivotField axis="axisCol"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4">
        <item x="0"/>
        <item x="2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h="1" sd="0" x="12"/>
        <item h="1" sd="0" x="13"/>
      </items>
    </pivotField>
  </pivotFields>
  <rowItems count="1">
    <i/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a de par 30_soles" fld="69" baseField="0" baseItem="0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90" name="Fecha_corte">
      <autoFilter ref="A1">
        <filterColumn colId="0">
          <customFilters and="1">
            <customFilter operator="greaterThanOrEqual" val="45901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89DD7-8480-451D-8248-B723F0761F00}" name="TablaDinámica10" cacheId="120" applyNumberFormats="0" applyBorderFormats="0" applyFontFormats="0" applyPatternFormats="0" applyAlignmentFormats="0" applyWidthHeightFormats="1" dataCaption="Valores" updatedVersion="8" minRefreshableVersion="5" rowGrandTotals="0" colGrandTotals="0" itemPrintTitles="1" createdVersion="8" indent="0" outline="1" outlineData="1" multipleFieldFilters="0">
  <location ref="N3:R5" firstHeaderRow="1" firstDataRow="2" firstDataCol="1"/>
  <pivotFields count="86">
    <pivotField axis="axisCol" showAll="0" defaultSubtotal="0">
      <items count="5">
        <item x="0"/>
        <item x="1"/>
        <item x="2"/>
        <item x="3"/>
        <item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4">
        <item x="0"/>
        <item x="2"/>
        <item x="1"/>
        <item h="1" x="3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2">
        <item x="0"/>
        <item x="1"/>
      </items>
    </pivotField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h="1" sd="0" x="12"/>
        <item h="1" sd="0" x="13"/>
      </items>
    </pivotField>
  </pivotFields>
  <rowFields count="1">
    <field x="83"/>
  </rowFields>
  <rowItems count="1">
    <i>
      <x/>
    </i>
  </rowItems>
  <colFields count="1">
    <field x="0"/>
  </colFields>
  <colItems count="4">
    <i>
      <x/>
    </i>
    <i>
      <x v="1"/>
    </i>
    <i>
      <x v="2"/>
    </i>
    <i>
      <x v="3"/>
    </i>
  </colItem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Between" evalOrder="-1" id="90" name="Fecha_corte">
      <autoFilter ref="A1">
        <filterColumn colId="0">
          <customFilters and="1">
            <customFilter operator="greaterThanOrEqual" val="45901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103BCC4-76B2-4F65-9D5A-4017B81586E4}" autoFormatId="16" applyNumberFormats="0" applyBorderFormats="0" applyFontFormats="0" applyPatternFormats="0" applyAlignmentFormats="0" applyWidthHeightFormats="0">
  <queryTableRefresh nextId="85">
    <queryTableFields count="84">
      <queryTableField id="1" name="Fecha_corte" tableColumnId="1"/>
      <queryTableField id="2" name="codmes" tableColumnId="2"/>
      <queryTableField id="3" name="exchange_rate" tableColumnId="3"/>
      <queryTableField id="4" name="codigo_de_contrato" tableColumnId="4"/>
      <queryTableField id="5" name="codigo_de_prestamo" tableColumnId="5"/>
      <queryTableField id="6" name="tipo_de_persona" tableColumnId="6"/>
      <queryTableField id="7" name="tipo_de_cliente" tableColumnId="7"/>
      <queryTableField id="8" name="tipo_de_documento" tableColumnId="8"/>
      <queryTableField id="9" name="numero_de_documento" tableColumnId="9"/>
      <queryTableField id="10" name="persona_o_rrll" tableColumnId="10"/>
      <queryTableField id="11" name="ruc" tableColumnId="11"/>
      <queryTableField id="12" name="empresa" tableColumnId="12"/>
      <queryTableField id="13" name="correo" tableColumnId="13"/>
      <queryTableField id="14" name="riesgo" tableColumnId="14"/>
      <queryTableField id="15" name="tipo_de_prestamo" tableColumnId="15"/>
      <queryTableField id="16" name="moneda" tableColumnId="16"/>
      <queryTableField id="17" name="nro_de_cuotas" tableColumnId="17"/>
      <queryTableField id="18" name="monto_prestado" tableColumnId="18"/>
      <queryTableField id="19" name="monto_prestado_soles" tableColumnId="19"/>
      <queryTableField id="20" name="tem" tableColumnId="20"/>
      <queryTableField id="21" name="tea" tableColumnId="21"/>
      <queryTableField id="22" name="interes_ganados" tableColumnId="22"/>
      <queryTableField id="23" name="interes_ganados_soles" tableColumnId="23"/>
      <queryTableField id="24" name="saldo_a_pagar" tableColumnId="24"/>
      <queryTableField id="25" name="fecha_de_desembolso" tableColumnId="25"/>
      <queryTableField id="26" name="banco_de_desembolso" tableColumnId="26"/>
      <queryTableField id="27" name="numero_de_cuenta_del_cliente" tableColumnId="27"/>
      <queryTableField id="28" name="gestion_del_prestamo" tableColumnId="28"/>
      <queryTableField id="29" name="status_actual_del_prestamo" tableColumnId="29"/>
      <queryTableField id="30" name="fecha_de_finalizacion" tableColumnId="30"/>
      <queryTableField id="31" name="¿se_envio_correo_de_desmbolso?" tableColumnId="31"/>
      <queryTableField id="32" name="¿se_ingreso_al_core_bancario?" tableColumnId="32"/>
      <queryTableField id="33" name="¿se_envio_correo_inicial_a_contabilidad?" tableColumnId="33"/>
      <queryTableField id="34" name="dias_de_mora" tableColumnId="34"/>
      <queryTableField id="35" name="¿se_ingreso_a_equifax?" tableColumnId="35"/>
      <queryTableField id="36" name="carpeta_cliente" tableColumnId="36"/>
      <queryTableField id="37" name="direccion" tableColumnId="37"/>
      <queryTableField id="38" name="numero_de_contacto" tableColumnId="38"/>
      <queryTableField id="39" name="Fecha de pago del cliente" tableColumnId="39"/>
      <queryTableField id="40" name="propietario_negocio" tableColumnId="40"/>
      <queryTableField id="41" name="mes_finalizacion" tableColumnId="41"/>
      <queryTableField id="42" name="mes_desembolso" tableColumnId="42"/>
      <queryTableField id="43" name="aux col filtrado" tableColumnId="43"/>
      <queryTableField id="44" name="Capital pagado" tableColumnId="44"/>
      <queryTableField id="45" name="Interes pagado" tableColumnId="45"/>
      <queryTableField id="46" name="Interes moratorio pagado" tableColumnId="46"/>
      <queryTableField id="47" name="Saldo a favor" tableColumnId="47"/>
      <queryTableField id="48" name="TOTAL DE LA CUOTA PAGADA" tableColumnId="48"/>
      <queryTableField id="49" name="Saldo Capital" tableColumnId="49"/>
      <queryTableField id="50" name="Capital pagado_soles" tableColumnId="50"/>
      <queryTableField id="51" name="Interes pagado_soles" tableColumnId="51"/>
      <queryTableField id="52" name="Interes moratorio pagado_soles" tableColumnId="52"/>
      <queryTableField id="53" name="Saldo a favor_soles" tableColumnId="53"/>
      <queryTableField id="54" name="TOTAL DE LA CUOTA PAGADA_soles" tableColumnId="54"/>
      <queryTableField id="55" name="Saldo Capital_soles" tableColumnId="55"/>
      <queryTableField id="56" name="fecha proximo pago" tableColumnId="56"/>
      <queryTableField id="57" name="dias atraso" tableColumnId="57"/>
      <queryTableField id="58" name="rango_dias_atraso" tableColumnId="58"/>
      <queryTableField id="59" name="par 0" tableColumnId="59"/>
      <queryTableField id="60" name="par 15" tableColumnId="60"/>
      <queryTableField id="61" name="par 30" tableColumnId="61"/>
      <queryTableField id="62" name="par 60" tableColumnId="62"/>
      <queryTableField id="63" name="par 90" tableColumnId="63"/>
      <queryTableField id="64" name="par 120" tableColumnId="64"/>
      <queryTableField id="65" name="par 150" tableColumnId="65"/>
      <queryTableField id="66" name="par 180" tableColumnId="66"/>
      <queryTableField id="67" name="par 360" tableColumnId="67"/>
      <queryTableField id="68" name="par 0_soles" tableColumnId="68"/>
      <queryTableField id="69" name="par 15_soles" tableColumnId="69"/>
      <queryTableField id="70" name="par 30_soles" tableColumnId="70"/>
      <queryTableField id="71" name="par 60_soles" tableColumnId="71"/>
      <queryTableField id="72" name="par 90_soles" tableColumnId="72"/>
      <queryTableField id="73" name="par 120_soles" tableColumnId="73"/>
      <queryTableField id="74" name="par 150_soles" tableColumnId="74"/>
      <queryTableField id="75" name="par 180_soles" tableColumnId="75"/>
      <queryTableField id="76" name="par 360_soles" tableColumnId="76"/>
      <queryTableField id="77" name="q_desembolso" tableColumnId="77"/>
      <queryTableField id="78" name="m_desembolso" tableColumnId="78"/>
      <queryTableField id="79" name="m_desembolso_soles" tableColumnId="79"/>
      <queryTableField id="80" name="Clasificacion" tableColumnId="80"/>
      <queryTableField id="81" name="% Provision" tableColumnId="81"/>
      <queryTableField id="82" name="Provision" tableColumnId="82"/>
      <queryTableField id="83" name="Provision_soles" tableColumnId="83"/>
      <queryTableField id="84" name="flag_castigo_&gt;150" tableColumnId="8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EEC9A-1B3B-41F0-B932-D0BF13083F75}" name="portafolio_lending" displayName="portafolio_lending" ref="A1:CF27" tableType="queryTable" totalsRowShown="0">
  <autoFilter ref="A1:CF27" xr:uid="{63AEEC9A-1B3B-41F0-B932-D0BF13083F75}"/>
  <tableColumns count="84">
    <tableColumn id="1" xr3:uid="{59CFFC95-DD60-46B1-99EA-6B7C5CA23E24}" uniqueName="1" name="Fecha_corte" queryTableFieldId="1" dataDxfId="73"/>
    <tableColumn id="2" xr3:uid="{7A4D1DB8-2EE3-4B58-B301-9E9046B2F1CD}" uniqueName="2" name="codmes" queryTableFieldId="2"/>
    <tableColumn id="3" xr3:uid="{9C224669-2A2F-4723-A4DB-ADC959013B4E}" uniqueName="3" name="exchange_rate" queryTableFieldId="3"/>
    <tableColumn id="4" xr3:uid="{FE729D62-235C-469D-868F-64409D07722C}" uniqueName="4" name="codigo_de_contrato" queryTableFieldId="4" dataDxfId="72"/>
    <tableColumn id="5" xr3:uid="{E7546046-55FB-4600-AA36-45DBD87443B7}" uniqueName="5" name="codigo_de_prestamo" queryTableFieldId="5" dataDxfId="71"/>
    <tableColumn id="6" xr3:uid="{DB565F3F-6581-40D2-A5E2-723799AC5BD8}" uniqueName="6" name="tipo_de_persona" queryTableFieldId="6" dataDxfId="70"/>
    <tableColumn id="7" xr3:uid="{AE9778A1-EBCD-46D2-987C-657A0AF301ED}" uniqueName="7" name="tipo_de_cliente" queryTableFieldId="7" dataDxfId="69"/>
    <tableColumn id="8" xr3:uid="{64D22DC0-C828-4056-BC5B-5CCF3B660E0A}" uniqueName="8" name="tipo_de_documento" queryTableFieldId="8" dataDxfId="68"/>
    <tableColumn id="9" xr3:uid="{65C462A9-C10D-4234-BE8E-77CCA479C56A}" uniqueName="9" name="numero_de_documento" queryTableFieldId="9"/>
    <tableColumn id="10" xr3:uid="{68B07FB6-E64D-45FA-ACD1-AB387D4595D4}" uniqueName="10" name="persona_o_rrll" queryTableFieldId="10" dataDxfId="67"/>
    <tableColumn id="11" xr3:uid="{22BD1967-3A0F-4973-969C-1BC507466913}" uniqueName="11" name="ruc" queryTableFieldId="11"/>
    <tableColumn id="12" xr3:uid="{BAB3879E-FB08-4603-9182-BB1C6EE58189}" uniqueName="12" name="empresa" queryTableFieldId="12" dataDxfId="66"/>
    <tableColumn id="13" xr3:uid="{28D8DC24-3DC4-40F7-B823-22D6B595E59D}" uniqueName="13" name="correo" queryTableFieldId="13" dataDxfId="65"/>
    <tableColumn id="14" xr3:uid="{8CEAAE08-A064-4DED-8E1D-524C34B0D107}" uniqueName="14" name="riesgo" queryTableFieldId="14" dataDxfId="64"/>
    <tableColumn id="15" xr3:uid="{31CA4584-5176-4BF1-946C-C183922078CD}" uniqueName="15" name="tipo_de_prestamo" queryTableFieldId="15" dataDxfId="63"/>
    <tableColumn id="16" xr3:uid="{E1A5C237-D732-4859-9E35-B1CFE276D9DF}" uniqueName="16" name="moneda" queryTableFieldId="16" dataDxfId="62"/>
    <tableColumn id="17" xr3:uid="{A588CDDB-BB5D-4A01-AD25-0BFE23A531FC}" uniqueName="17" name="nro_de_cuotas" queryTableFieldId="17"/>
    <tableColumn id="18" xr3:uid="{051586A9-9569-4FE3-AC88-681480D39245}" uniqueName="18" name="monto_prestado" queryTableFieldId="18"/>
    <tableColumn id="19" xr3:uid="{476D245F-6D1E-48FA-8DA1-150387F7AB50}" uniqueName="19" name="monto_prestado_soles" queryTableFieldId="19"/>
    <tableColumn id="20" xr3:uid="{6390D2B0-3C7F-49EA-BE09-F81A8C155577}" uniqueName="20" name="tem" queryTableFieldId="20"/>
    <tableColumn id="21" xr3:uid="{900B85F3-9E2E-40F9-9B4E-26C84815E456}" uniqueName="21" name="tea" queryTableFieldId="21"/>
    <tableColumn id="22" xr3:uid="{431F1078-058F-47CE-AE3E-03178B523CF1}" uniqueName="22" name="interes_ganados" queryTableFieldId="22"/>
    <tableColumn id="23" xr3:uid="{571D5F58-7931-4DA0-BC45-00387E1E9F97}" uniqueName="23" name="interes_ganados_soles" queryTableFieldId="23"/>
    <tableColumn id="24" xr3:uid="{78374C40-3162-4EA5-BB90-4B1C153670EF}" uniqueName="24" name="saldo_a_pagar" queryTableFieldId="24" dataDxfId="61"/>
    <tableColumn id="25" xr3:uid="{D8BD3E13-F65E-4B85-A27D-CEFB18426BB6}" uniqueName="25" name="fecha_de_desembolso" queryTableFieldId="25" dataDxfId="60"/>
    <tableColumn id="26" xr3:uid="{BA4D8AA8-555A-4E24-A768-F2D0D855B436}" uniqueName="26" name="banco_de_desembolso" queryTableFieldId="26" dataDxfId="59"/>
    <tableColumn id="27" xr3:uid="{C45D92EC-92A8-42CA-818F-D1746249C2EE}" uniqueName="27" name="numero_de_cuenta_del_cliente" queryTableFieldId="27"/>
    <tableColumn id="28" xr3:uid="{68FE2A7F-0022-4C9B-B6CC-6FFD1956D965}" uniqueName="28" name="gestion_del_prestamo" queryTableFieldId="28" dataDxfId="58"/>
    <tableColumn id="29" xr3:uid="{552BA3FF-AE85-4E42-8FEB-7B346C4B20B8}" uniqueName="29" name="status_actual_del_prestamo" queryTableFieldId="29" dataDxfId="57"/>
    <tableColumn id="30" xr3:uid="{0F89D4DF-B4E2-4D7F-8A35-671B16BB4AEB}" uniqueName="30" name="fecha_de_finalizacion" queryTableFieldId="30" dataDxfId="56"/>
    <tableColumn id="31" xr3:uid="{BF4B8567-E713-47AD-A552-1C5F9556AC8C}" uniqueName="31" name="¿se_envio_correo_de_desmbolso?" queryTableFieldId="31" dataDxfId="55"/>
    <tableColumn id="32" xr3:uid="{2A213555-E298-4086-952B-0D2E0E6A2455}" uniqueName="32" name="¿se_ingreso_al_core_bancario?" queryTableFieldId="32" dataDxfId="54"/>
    <tableColumn id="33" xr3:uid="{604C10D4-919B-4A53-9672-FE96FC0D3D60}" uniqueName="33" name="¿se_envio_correo_inicial_a_contabilidad?" queryTableFieldId="33" dataDxfId="53"/>
    <tableColumn id="34" xr3:uid="{DF2251A0-6FFD-4B74-ACC6-B1970FD9E5C6}" uniqueName="34" name="dias_de_mora" queryTableFieldId="34"/>
    <tableColumn id="35" xr3:uid="{2FACBFC3-C728-4626-BF15-00E8B893EB39}" uniqueName="35" name="¿se_ingreso_a_equifax?" queryTableFieldId="35" dataDxfId="52"/>
    <tableColumn id="36" xr3:uid="{A5D9D61F-7887-4292-9784-98737DACD331}" uniqueName="36" name="carpeta_cliente" queryTableFieldId="36" dataDxfId="51"/>
    <tableColumn id="37" xr3:uid="{EFDBE952-F20B-4B0F-A392-9D3B4D05484C}" uniqueName="37" name="direccion" queryTableFieldId="37" dataDxfId="50"/>
    <tableColumn id="38" xr3:uid="{8EFC365C-8930-49FE-ADF3-27F94CE9D6DE}" uniqueName="38" name="numero_de_contacto" queryTableFieldId="38" dataDxfId="49"/>
    <tableColumn id="39" xr3:uid="{A220EB37-093F-44F2-B10C-673D49844794}" uniqueName="39" name="Fecha de pago del cliente" queryTableFieldId="39" dataDxfId="48"/>
    <tableColumn id="40" xr3:uid="{D88D7E97-F1DD-4200-8AE1-508E36027694}" uniqueName="40" name="propietario_negocio" queryTableFieldId="40" dataDxfId="47"/>
    <tableColumn id="41" xr3:uid="{A72169AE-7F3B-4BA2-9E2F-3E77A1F3782E}" uniqueName="41" name="mes_finalizacion" queryTableFieldId="41" dataDxfId="46"/>
    <tableColumn id="42" xr3:uid="{D1FD86B7-2590-47A0-8464-A388E0114810}" uniqueName="42" name="mes_desembolso" queryTableFieldId="42" dataDxfId="45"/>
    <tableColumn id="43" xr3:uid="{1752C362-D9A5-47CD-905D-52CF3BA52D9B}" uniqueName="43" name="aux col filtrado" queryTableFieldId="43" dataDxfId="44"/>
    <tableColumn id="44" xr3:uid="{D1890E05-9385-4CAD-BD6C-4ABE2ABC1CB3}" uniqueName="44" name="Capital pagado" queryTableFieldId="44"/>
    <tableColumn id="45" xr3:uid="{927CCAC8-DC3E-4ED4-93AD-65CE8A5AC554}" uniqueName="45" name="Interes pagado" queryTableFieldId="45"/>
    <tableColumn id="46" xr3:uid="{4AD0818C-6820-4978-8A85-9BB1377E6F16}" uniqueName="46" name="Interes moratorio pagado" queryTableFieldId="46"/>
    <tableColumn id="47" xr3:uid="{300F180D-6492-456D-9D46-8F7C079BB4AC}" uniqueName="47" name="Saldo a favor" queryTableFieldId="47"/>
    <tableColumn id="48" xr3:uid="{ABBD4CF9-4658-42EA-B7D9-58F714859EEB}" uniqueName="48" name="TOTAL DE LA CUOTA PAGADA" queryTableFieldId="48"/>
    <tableColumn id="49" xr3:uid="{0A80B27B-1C22-4766-BF64-E80DBB1C7008}" uniqueName="49" name="Saldo Capital" queryTableFieldId="49"/>
    <tableColumn id="50" xr3:uid="{CF066A9B-B688-47AC-8545-01ECA115BBEC}" uniqueName="50" name="Capital pagado_soles" queryTableFieldId="50"/>
    <tableColumn id="51" xr3:uid="{FA484FD9-8C4E-4055-B59C-D0894A682630}" uniqueName="51" name="Interes pagado_soles" queryTableFieldId="51"/>
    <tableColumn id="52" xr3:uid="{B1403427-CD78-49CA-B0D3-178BA7C87833}" uniqueName="52" name="Interes moratorio pagado_soles" queryTableFieldId="52"/>
    <tableColumn id="53" xr3:uid="{2C0193A9-743F-4ADE-9A1A-446ED12C8C00}" uniqueName="53" name="Saldo a favor_soles" queryTableFieldId="53"/>
    <tableColumn id="54" xr3:uid="{F716020B-54B1-46C2-83B9-BFDF60F0A171}" uniqueName="54" name="TOTAL DE LA CUOTA PAGADA_soles" queryTableFieldId="54"/>
    <tableColumn id="55" xr3:uid="{47FC1A10-7408-46A5-A97C-80759A2E5531}" uniqueName="55" name="Saldo Capital_soles" queryTableFieldId="55"/>
    <tableColumn id="56" xr3:uid="{C777B2A8-C8EA-47B5-815E-E50058E033BB}" uniqueName="56" name="fecha proximo pago" queryTableFieldId="56" dataDxfId="43"/>
    <tableColumn id="57" xr3:uid="{8FC60109-C49D-4AB5-A221-9575D043AA90}" uniqueName="57" name="dias atraso" queryTableFieldId="57"/>
    <tableColumn id="58" xr3:uid="{759E4C70-66D9-486E-B1DB-EEBB38EE54F6}" uniqueName="58" name="rango_dias_atraso" queryTableFieldId="58" dataDxfId="42"/>
    <tableColumn id="59" xr3:uid="{F49D44B1-095A-4F4E-A363-CE676FDC3261}" uniqueName="59" name="par 0" queryTableFieldId="59"/>
    <tableColumn id="60" xr3:uid="{CBD0CAEA-AA7F-414B-94A3-D9E932C49E8B}" uniqueName="60" name="par 15" queryTableFieldId="60"/>
    <tableColumn id="61" xr3:uid="{D65FCC94-68E4-4752-9C7B-9E10F68616C9}" uniqueName="61" name="par 30" queryTableFieldId="61"/>
    <tableColumn id="62" xr3:uid="{5D5283B6-E87B-4921-9BE8-D6A3A5A25B3A}" uniqueName="62" name="par 60" queryTableFieldId="62"/>
    <tableColumn id="63" xr3:uid="{18647B71-93A0-4974-8281-0E6B27243059}" uniqueName="63" name="par 90" queryTableFieldId="63"/>
    <tableColumn id="64" xr3:uid="{B43C7763-8619-4786-AC64-C8C9C9D62CD3}" uniqueName="64" name="par 120" queryTableFieldId="64"/>
    <tableColumn id="65" xr3:uid="{BD7F7363-B07C-4A98-AFC7-C0F236AAAEFE}" uniqueName="65" name="par 150" queryTableFieldId="65"/>
    <tableColumn id="66" xr3:uid="{779CF49B-32D9-457A-ABF9-B132E00C6AA3}" uniqueName="66" name="par 180" queryTableFieldId="66"/>
    <tableColumn id="67" xr3:uid="{E205B8C8-B3E6-42DE-8286-CE9E255639AC}" uniqueName="67" name="par 360" queryTableFieldId="67"/>
    <tableColumn id="68" xr3:uid="{2BF8510C-21E4-4606-A088-9B2576E8495C}" uniqueName="68" name="par 0_soles" queryTableFieldId="68"/>
    <tableColumn id="69" xr3:uid="{E6158D22-5BC3-4169-8B5D-75D7295A6782}" uniqueName="69" name="par 15_soles" queryTableFieldId="69"/>
    <tableColumn id="70" xr3:uid="{1096F274-9F79-4D23-9DDB-D9A0B943752B}" uniqueName="70" name="par 30_soles" queryTableFieldId="70"/>
    <tableColumn id="71" xr3:uid="{559CBF9A-6DF9-4377-A1B0-B9E355BE2EA4}" uniqueName="71" name="par 60_soles" queryTableFieldId="71"/>
    <tableColumn id="72" xr3:uid="{971F9C03-4035-4E85-8551-08E705AC78BB}" uniqueName="72" name="par 90_soles" queryTableFieldId="72"/>
    <tableColumn id="73" xr3:uid="{5D7CDF9F-D9C5-44AA-AA0A-3167E9C0D94B}" uniqueName="73" name="par 120_soles" queryTableFieldId="73"/>
    <tableColumn id="74" xr3:uid="{7B7D8CFA-0AF9-496B-9F2E-C5960AB4BFAB}" uniqueName="74" name="par 150_soles" queryTableFieldId="74"/>
    <tableColumn id="75" xr3:uid="{B57CD395-4CB4-4664-AEA5-256404C996F5}" uniqueName="75" name="par 180_soles" queryTableFieldId="75"/>
    <tableColumn id="76" xr3:uid="{7139D136-381C-4134-B698-9AF85611AFBD}" uniqueName="76" name="par 360_soles" queryTableFieldId="76"/>
    <tableColumn id="77" xr3:uid="{D075C33D-8BCE-47A1-A476-9CDD8734E22F}" uniqueName="77" name="q_desembolso" queryTableFieldId="77"/>
    <tableColumn id="78" xr3:uid="{851A3105-5334-4B31-A65F-208C567A026F}" uniqueName="78" name="m_desembolso" queryTableFieldId="78"/>
    <tableColumn id="79" xr3:uid="{C3E14487-8C1C-4E63-8366-D3570028F756}" uniqueName="79" name="m_desembolso_soles" queryTableFieldId="79"/>
    <tableColumn id="80" xr3:uid="{88DCE284-3130-482D-A312-2369F0DB0EAD}" uniqueName="80" name="Clasificacion" queryTableFieldId="80" dataDxfId="41"/>
    <tableColumn id="81" xr3:uid="{D603686C-A107-45D1-9B13-B4676E098908}" uniqueName="81" name="% Provision" queryTableFieldId="81"/>
    <tableColumn id="82" xr3:uid="{65465D1C-B7C9-4ACD-83B1-11C76924375A}" uniqueName="82" name="Provision" queryTableFieldId="82"/>
    <tableColumn id="83" xr3:uid="{F0716A10-55E0-4A5C-A0D7-C3885984BF18}" uniqueName="83" name="Provision_soles" queryTableFieldId="83"/>
    <tableColumn id="84" xr3:uid="{F9FDD701-B934-4935-ACEC-5A85CA3E2677}" uniqueName="84" name="flag_castigo_&gt;150" queryTableFieldId="84" dataDxf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corte" xr10:uid="{DB15B8F2-169D-488E-B2E0-C6AED3373744}" sourceName="Fecha_corte">
  <pivotTables>
    <pivotTable tabId="1" name="TablaDinámica9"/>
    <pivotTable tabId="1" name="TablaDinámica10"/>
    <pivotTable tabId="1" name="TablaDinámica11"/>
    <pivotTable tabId="1" name="TablaDinámica12"/>
    <pivotTable tabId="1" name="TablaDinámica8"/>
  </pivotTables>
  <state minimalRefreshVersion="6" lastRefreshVersion="6" pivotCacheId="1782017911" filterType="dateBetween">
    <selection startDate="2025-09-01T00:00:00" endDate="2025-12-31T00:00:00"/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_corte" xr10:uid="{632C08B0-9177-4826-AE2D-285007429FD1}" cache="NativeTimeline_Fecha_corte" caption="Fecha_corte" level="2" selectionLevel="2" scrollPosition="2025-05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A308-BE29-4F9B-8B17-8702B36B5792}">
  <dimension ref="A1:CF27"/>
  <sheetViews>
    <sheetView topLeftCell="AO3" workbookViewId="0">
      <selection activeCell="AU8" sqref="AU8"/>
    </sheetView>
  </sheetViews>
  <sheetFormatPr baseColWidth="10" defaultRowHeight="14.4" x14ac:dyDescent="0.3"/>
  <cols>
    <col min="1" max="1" width="13.33203125" bestFit="1" customWidth="1"/>
    <col min="2" max="2" width="9.88671875" bestFit="1" customWidth="1"/>
    <col min="3" max="3" width="15.109375" bestFit="1" customWidth="1"/>
    <col min="4" max="4" width="19.5546875" bestFit="1" customWidth="1"/>
    <col min="5" max="5" width="20.5546875" bestFit="1" customWidth="1"/>
    <col min="6" max="6" width="17.44140625" bestFit="1" customWidth="1"/>
    <col min="7" max="7" width="16" bestFit="1" customWidth="1"/>
    <col min="8" max="8" width="19.77734375" bestFit="1" customWidth="1"/>
    <col min="9" max="9" width="22.77734375" bestFit="1" customWidth="1"/>
    <col min="10" max="10" width="34.88671875" bestFit="1" customWidth="1"/>
    <col min="11" max="11" width="12" bestFit="1" customWidth="1"/>
    <col min="12" max="12" width="46.21875" bestFit="1" customWidth="1"/>
    <col min="13" max="13" width="33.109375" bestFit="1" customWidth="1"/>
    <col min="14" max="14" width="8.21875" bestFit="1" customWidth="1"/>
    <col min="15" max="15" width="18.33203125" bestFit="1" customWidth="1"/>
    <col min="16" max="16" width="10" bestFit="1" customWidth="1"/>
    <col min="17" max="17" width="15.109375" bestFit="1" customWidth="1"/>
    <col min="18" max="18" width="16.77734375" bestFit="1" customWidth="1"/>
    <col min="19" max="19" width="22" bestFit="1" customWidth="1"/>
    <col min="20" max="21" width="7" bestFit="1" customWidth="1"/>
    <col min="22" max="22" width="16.6640625" bestFit="1" customWidth="1"/>
    <col min="23" max="23" width="21.88671875" bestFit="1" customWidth="1"/>
    <col min="24" max="24" width="15" bestFit="1" customWidth="1"/>
    <col min="25" max="25" width="21.77734375" bestFit="1" customWidth="1"/>
    <col min="26" max="26" width="22.33203125" bestFit="1" customWidth="1"/>
    <col min="27" max="27" width="29.21875" bestFit="1" customWidth="1"/>
    <col min="28" max="28" width="21.5546875" bestFit="1" customWidth="1"/>
    <col min="29" max="29" width="26.77734375" bestFit="1" customWidth="1"/>
    <col min="30" max="30" width="21.21875" bestFit="1" customWidth="1"/>
    <col min="31" max="31" width="31.44140625" bestFit="1" customWidth="1"/>
    <col min="32" max="32" width="28.88671875" bestFit="1" customWidth="1"/>
    <col min="33" max="33" width="37.88671875" bestFit="1" customWidth="1"/>
    <col min="34" max="34" width="14.77734375" bestFit="1" customWidth="1"/>
    <col min="35" max="35" width="22.44140625" bestFit="1" customWidth="1"/>
    <col min="36" max="36" width="58.33203125" bestFit="1" customWidth="1"/>
    <col min="37" max="37" width="80.88671875" bestFit="1" customWidth="1"/>
    <col min="38" max="38" width="20.6640625" bestFit="1" customWidth="1"/>
    <col min="39" max="39" width="24.33203125" bestFit="1" customWidth="1"/>
    <col min="40" max="40" width="30.33203125" bestFit="1" customWidth="1"/>
    <col min="41" max="41" width="17.21875" bestFit="1" customWidth="1"/>
    <col min="42" max="42" width="17.77734375" bestFit="1" customWidth="1"/>
    <col min="43" max="43" width="15.44140625" bestFit="1" customWidth="1"/>
    <col min="44" max="44" width="15.77734375" bestFit="1" customWidth="1"/>
    <col min="45" max="45" width="15.44140625" bestFit="1" customWidth="1"/>
    <col min="46" max="46" width="24.21875" bestFit="1" customWidth="1"/>
    <col min="47" max="47" width="13.77734375" bestFit="1" customWidth="1"/>
    <col min="48" max="48" width="26.88671875" bestFit="1" customWidth="1"/>
    <col min="49" max="49" width="14.44140625" bestFit="1" customWidth="1"/>
    <col min="50" max="50" width="21" bestFit="1" customWidth="1"/>
    <col min="51" max="51" width="20.6640625" bestFit="1" customWidth="1"/>
    <col min="52" max="52" width="29.44140625" bestFit="1" customWidth="1"/>
    <col min="53" max="53" width="19" bestFit="1" customWidth="1"/>
    <col min="54" max="54" width="32.109375" bestFit="1" customWidth="1"/>
    <col min="55" max="55" width="19.6640625" bestFit="1" customWidth="1"/>
    <col min="56" max="56" width="19.44140625" bestFit="1" customWidth="1"/>
    <col min="57" max="57" width="12.33203125" bestFit="1" customWidth="1"/>
    <col min="58" max="58" width="18.109375" bestFit="1" customWidth="1"/>
    <col min="59" max="59" width="8" bestFit="1" customWidth="1"/>
    <col min="60" max="63" width="8.33203125" bestFit="1" customWidth="1"/>
    <col min="64" max="67" width="9.33203125" bestFit="1" customWidth="1"/>
    <col min="68" max="68" width="12.44140625" bestFit="1" customWidth="1"/>
    <col min="69" max="72" width="13.44140625" bestFit="1" customWidth="1"/>
    <col min="73" max="76" width="14.44140625" bestFit="1" customWidth="1"/>
    <col min="77" max="77" width="15.33203125" bestFit="1" customWidth="1"/>
    <col min="78" max="78" width="15.88671875" bestFit="1" customWidth="1"/>
    <col min="79" max="79" width="21.109375" bestFit="1" customWidth="1"/>
    <col min="80" max="80" width="14.109375" bestFit="1" customWidth="1"/>
    <col min="81" max="81" width="12.77734375" bestFit="1" customWidth="1"/>
    <col min="82" max="82" width="10.88671875" bestFit="1" customWidth="1"/>
    <col min="83" max="83" width="16" bestFit="1" customWidth="1"/>
    <col min="84" max="84" width="17.77734375" bestFit="1" customWidth="1"/>
  </cols>
  <sheetData>
    <row r="1" spans="1:84" ht="19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s="46" customFormat="1" x14ac:dyDescent="0.3">
      <c r="A2" s="45">
        <v>45930</v>
      </c>
      <c r="B2" s="46">
        <v>202509</v>
      </c>
      <c r="C2" s="46">
        <v>3.47</v>
      </c>
      <c r="D2" s="46" t="s">
        <v>84</v>
      </c>
      <c r="E2" s="46" t="s">
        <v>85</v>
      </c>
      <c r="F2" s="46" t="s">
        <v>86</v>
      </c>
      <c r="G2" s="46" t="s">
        <v>87</v>
      </c>
      <c r="H2" s="46" t="s">
        <v>88</v>
      </c>
      <c r="I2" s="46">
        <v>40553117</v>
      </c>
      <c r="J2" s="46" t="s">
        <v>89</v>
      </c>
      <c r="K2" s="46">
        <v>10405531173</v>
      </c>
      <c r="L2" s="46" t="s">
        <v>89</v>
      </c>
      <c r="M2" s="46" t="s">
        <v>90</v>
      </c>
      <c r="N2" s="46" t="s">
        <v>91</v>
      </c>
      <c r="O2" s="46" t="s">
        <v>92</v>
      </c>
      <c r="P2" s="46" t="s">
        <v>93</v>
      </c>
      <c r="Q2" s="46">
        <v>12</v>
      </c>
      <c r="R2" s="46">
        <v>5000</v>
      </c>
      <c r="S2" s="46">
        <v>5000</v>
      </c>
      <c r="T2" s="46">
        <v>5.0200000000000002E-2</v>
      </c>
      <c r="U2" s="46">
        <v>0.8</v>
      </c>
      <c r="V2" s="46">
        <v>428.21</v>
      </c>
      <c r="W2" s="46">
        <v>428.21</v>
      </c>
      <c r="X2" s="46" t="s">
        <v>94</v>
      </c>
      <c r="Y2" s="45">
        <v>45924</v>
      </c>
      <c r="Z2" s="46" t="s">
        <v>95</v>
      </c>
      <c r="AA2" s="46">
        <v>19102015634093</v>
      </c>
      <c r="AB2" s="46" t="s">
        <v>94</v>
      </c>
      <c r="AC2" s="46" t="s">
        <v>96</v>
      </c>
      <c r="AD2" s="45"/>
      <c r="AE2" s="46" t="s">
        <v>97</v>
      </c>
      <c r="AF2" s="46" t="s">
        <v>97</v>
      </c>
      <c r="AG2" s="46" t="s">
        <v>97</v>
      </c>
      <c r="AH2" s="46">
        <v>0</v>
      </c>
      <c r="AI2" s="46" t="s">
        <v>94</v>
      </c>
      <c r="AJ2" s="46" t="s">
        <v>98</v>
      </c>
      <c r="AK2" s="46" t="s">
        <v>99</v>
      </c>
      <c r="AL2" s="46" t="s">
        <v>100</v>
      </c>
      <c r="AM2" s="45"/>
      <c r="AN2" s="46" t="s">
        <v>101</v>
      </c>
      <c r="AO2" s="45"/>
      <c r="AP2" s="45">
        <v>45930</v>
      </c>
      <c r="AQ2" s="46" t="s">
        <v>102</v>
      </c>
      <c r="AR2" s="46">
        <v>0</v>
      </c>
      <c r="AS2" s="46">
        <v>0</v>
      </c>
      <c r="AT2" s="46">
        <v>0</v>
      </c>
      <c r="AU2" s="46">
        <v>0</v>
      </c>
      <c r="AV2" s="46">
        <v>0</v>
      </c>
      <c r="AW2" s="46">
        <v>5000</v>
      </c>
      <c r="AX2" s="46">
        <v>0</v>
      </c>
      <c r="AY2" s="46">
        <v>0</v>
      </c>
      <c r="AZ2" s="46">
        <v>0</v>
      </c>
      <c r="BA2" s="46">
        <v>0</v>
      </c>
      <c r="BB2" s="46">
        <v>0</v>
      </c>
      <c r="BC2" s="46">
        <v>5000</v>
      </c>
      <c r="BD2" s="45">
        <v>45966</v>
      </c>
      <c r="BE2" s="46">
        <v>0</v>
      </c>
      <c r="BF2" s="46" t="s">
        <v>103</v>
      </c>
      <c r="BG2" s="46">
        <v>0</v>
      </c>
      <c r="BH2" s="46">
        <v>0</v>
      </c>
      <c r="BI2" s="46">
        <v>0</v>
      </c>
      <c r="BJ2" s="46">
        <v>0</v>
      </c>
      <c r="BK2" s="46">
        <v>0</v>
      </c>
      <c r="BL2" s="46">
        <v>0</v>
      </c>
      <c r="BM2" s="46">
        <v>0</v>
      </c>
      <c r="BN2" s="46">
        <v>0</v>
      </c>
      <c r="BO2" s="46">
        <v>0</v>
      </c>
      <c r="BP2" s="46">
        <v>0</v>
      </c>
      <c r="BQ2" s="46">
        <v>0</v>
      </c>
      <c r="BR2" s="46">
        <v>0</v>
      </c>
      <c r="BS2" s="46">
        <v>0</v>
      </c>
      <c r="BT2" s="46">
        <v>0</v>
      </c>
      <c r="BU2" s="46">
        <v>0</v>
      </c>
      <c r="BV2" s="46">
        <v>0</v>
      </c>
      <c r="BW2" s="46">
        <v>0</v>
      </c>
      <c r="BX2" s="46">
        <v>0</v>
      </c>
      <c r="BY2" s="46">
        <v>1</v>
      </c>
      <c r="BZ2" s="46">
        <v>5000</v>
      </c>
      <c r="CA2" s="46">
        <v>5000</v>
      </c>
      <c r="CB2" s="46" t="s">
        <v>104</v>
      </c>
      <c r="CC2" s="46">
        <v>0.01</v>
      </c>
      <c r="CD2" s="46">
        <v>50</v>
      </c>
      <c r="CE2" s="46">
        <v>50</v>
      </c>
    </row>
    <row r="3" spans="1:84" s="46" customFormat="1" x14ac:dyDescent="0.3">
      <c r="A3" s="45">
        <v>45930</v>
      </c>
      <c r="B3" s="46">
        <v>202509</v>
      </c>
      <c r="C3" s="46">
        <v>3.47</v>
      </c>
      <c r="D3" s="46" t="s">
        <v>105</v>
      </c>
      <c r="E3" s="46" t="s">
        <v>106</v>
      </c>
      <c r="F3" s="46" t="s">
        <v>86</v>
      </c>
      <c r="G3" s="46" t="s">
        <v>87</v>
      </c>
      <c r="H3" s="46" t="s">
        <v>88</v>
      </c>
      <c r="I3" s="46">
        <v>47614102</v>
      </c>
      <c r="J3" s="46" t="s">
        <v>107</v>
      </c>
      <c r="K3" s="46">
        <v>10476141023</v>
      </c>
      <c r="L3" s="46" t="s">
        <v>107</v>
      </c>
      <c r="M3" s="46" t="s">
        <v>108</v>
      </c>
      <c r="N3" s="46" t="s">
        <v>109</v>
      </c>
      <c r="O3" s="46" t="s">
        <v>92</v>
      </c>
      <c r="P3" s="46" t="s">
        <v>93</v>
      </c>
      <c r="Q3" s="46">
        <v>6</v>
      </c>
      <c r="R3" s="46">
        <v>2000</v>
      </c>
      <c r="S3" s="46">
        <v>2000</v>
      </c>
      <c r="T3" s="46">
        <v>4.2799999999999998E-2</v>
      </c>
      <c r="U3" s="46">
        <v>0.65349999999999997</v>
      </c>
      <c r="V3" s="46">
        <v>19.649999999999999</v>
      </c>
      <c r="W3" s="46">
        <v>19.649999999999999</v>
      </c>
      <c r="X3" s="46" t="s">
        <v>94</v>
      </c>
      <c r="Y3" s="45">
        <v>45924</v>
      </c>
      <c r="Z3" s="46" t="s">
        <v>95</v>
      </c>
      <c r="AA3" s="46">
        <v>57090910922067</v>
      </c>
      <c r="AB3" s="46" t="s">
        <v>94</v>
      </c>
      <c r="AC3" s="46" t="s">
        <v>110</v>
      </c>
      <c r="AD3" s="45">
        <v>45931</v>
      </c>
      <c r="AE3" s="46" t="s">
        <v>97</v>
      </c>
      <c r="AF3" s="46" t="s">
        <v>97</v>
      </c>
      <c r="AG3" s="46" t="s">
        <v>97</v>
      </c>
      <c r="AH3" s="46">
        <v>0</v>
      </c>
      <c r="AI3" s="46" t="s">
        <v>94</v>
      </c>
      <c r="AJ3" s="46" t="s">
        <v>111</v>
      </c>
      <c r="AK3" s="46" t="s">
        <v>112</v>
      </c>
      <c r="AL3" s="46" t="s">
        <v>113</v>
      </c>
      <c r="AM3" s="45">
        <v>45931</v>
      </c>
      <c r="AN3" s="46" t="s">
        <v>101</v>
      </c>
      <c r="AO3" s="45">
        <v>45961</v>
      </c>
      <c r="AP3" s="45">
        <v>45930</v>
      </c>
      <c r="AQ3" s="46" t="s">
        <v>102</v>
      </c>
      <c r="AR3" s="46">
        <v>0</v>
      </c>
      <c r="AS3" s="46">
        <v>0</v>
      </c>
      <c r="AT3" s="46">
        <v>0</v>
      </c>
      <c r="AU3" s="46">
        <v>0</v>
      </c>
      <c r="AV3" s="46">
        <v>0</v>
      </c>
      <c r="AW3" s="46">
        <v>2000</v>
      </c>
      <c r="AX3" s="46">
        <v>0</v>
      </c>
      <c r="AY3" s="46">
        <v>0</v>
      </c>
      <c r="AZ3" s="46">
        <v>0</v>
      </c>
      <c r="BA3" s="46">
        <v>0</v>
      </c>
      <c r="BB3" s="46">
        <v>0</v>
      </c>
      <c r="BC3" s="46">
        <v>2000</v>
      </c>
      <c r="BD3" s="45">
        <v>45976</v>
      </c>
      <c r="BE3" s="46">
        <v>0</v>
      </c>
      <c r="BF3" s="46" t="s">
        <v>103</v>
      </c>
      <c r="BG3" s="46">
        <v>0</v>
      </c>
      <c r="BH3" s="46">
        <v>0</v>
      </c>
      <c r="BI3" s="46">
        <v>0</v>
      </c>
      <c r="BJ3" s="46">
        <v>0</v>
      </c>
      <c r="BK3" s="46">
        <v>0</v>
      </c>
      <c r="BL3" s="46">
        <v>0</v>
      </c>
      <c r="BM3" s="46">
        <v>0</v>
      </c>
      <c r="BN3" s="46">
        <v>0</v>
      </c>
      <c r="BO3" s="46">
        <v>0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1</v>
      </c>
      <c r="BZ3" s="46">
        <v>2000</v>
      </c>
      <c r="CA3" s="46">
        <v>2000</v>
      </c>
      <c r="CB3" s="46" t="s">
        <v>104</v>
      </c>
      <c r="CC3" s="46">
        <v>0.01</v>
      </c>
      <c r="CD3" s="46">
        <v>20</v>
      </c>
      <c r="CE3" s="46">
        <v>20</v>
      </c>
      <c r="CF3" s="46" t="s">
        <v>94</v>
      </c>
    </row>
    <row r="4" spans="1:84" s="46" customFormat="1" x14ac:dyDescent="0.3">
      <c r="A4" s="45">
        <v>45930</v>
      </c>
      <c r="B4" s="46">
        <v>202509</v>
      </c>
      <c r="C4" s="46">
        <v>3.47</v>
      </c>
      <c r="D4" s="46" t="s">
        <v>114</v>
      </c>
      <c r="E4" s="46" t="s">
        <v>115</v>
      </c>
      <c r="F4" s="46" t="s">
        <v>116</v>
      </c>
      <c r="G4" s="46" t="s">
        <v>87</v>
      </c>
      <c r="H4" s="46" t="s">
        <v>88</v>
      </c>
      <c r="I4" s="46">
        <v>41816681</v>
      </c>
      <c r="J4" s="46" t="s">
        <v>117</v>
      </c>
      <c r="K4" s="46">
        <v>20611306751</v>
      </c>
      <c r="L4" s="46" t="s">
        <v>118</v>
      </c>
      <c r="M4" s="46" t="s">
        <v>119</v>
      </c>
      <c r="N4" s="46" t="s">
        <v>120</v>
      </c>
      <c r="O4" s="46" t="s">
        <v>92</v>
      </c>
      <c r="P4" s="46" t="s">
        <v>93</v>
      </c>
      <c r="Q4" s="46">
        <v>12</v>
      </c>
      <c r="R4" s="46">
        <v>5000</v>
      </c>
      <c r="S4" s="46">
        <v>5000</v>
      </c>
      <c r="T4" s="46">
        <v>2.7799999999999998E-2</v>
      </c>
      <c r="U4" s="46">
        <v>0.3896</v>
      </c>
      <c r="X4" s="46" t="s">
        <v>94</v>
      </c>
      <c r="Y4" s="45">
        <v>45926</v>
      </c>
      <c r="Z4" s="46" t="s">
        <v>95</v>
      </c>
      <c r="AA4" s="46">
        <v>1917094078051</v>
      </c>
      <c r="AB4" s="46" t="s">
        <v>94</v>
      </c>
      <c r="AC4" s="46" t="s">
        <v>96</v>
      </c>
      <c r="AD4" s="45"/>
      <c r="AE4" s="46" t="s">
        <v>97</v>
      </c>
      <c r="AF4" s="46" t="s">
        <v>97</v>
      </c>
      <c r="AG4" s="46" t="s">
        <v>97</v>
      </c>
      <c r="AH4" s="46">
        <v>0</v>
      </c>
      <c r="AI4" s="46" t="s">
        <v>94</v>
      </c>
      <c r="AJ4" s="46" t="s">
        <v>121</v>
      </c>
      <c r="AK4" s="46" t="s">
        <v>122</v>
      </c>
      <c r="AL4" s="46" t="s">
        <v>123</v>
      </c>
      <c r="AM4" s="45"/>
      <c r="AN4" s="46" t="s">
        <v>101</v>
      </c>
      <c r="AO4" s="45"/>
      <c r="AP4" s="45">
        <v>45930</v>
      </c>
      <c r="AQ4" s="46" t="s">
        <v>102</v>
      </c>
      <c r="AR4" s="46">
        <v>0</v>
      </c>
      <c r="AS4" s="46">
        <v>0</v>
      </c>
      <c r="AT4" s="46">
        <v>0</v>
      </c>
      <c r="AU4" s="46">
        <v>0</v>
      </c>
      <c r="AV4" s="46">
        <v>0</v>
      </c>
      <c r="AW4" s="46">
        <v>5000</v>
      </c>
      <c r="AX4" s="46">
        <v>0</v>
      </c>
      <c r="AY4" s="46">
        <v>0</v>
      </c>
      <c r="AZ4" s="46">
        <v>0</v>
      </c>
      <c r="BA4" s="46">
        <v>0</v>
      </c>
      <c r="BB4" s="46">
        <v>0</v>
      </c>
      <c r="BC4" s="46">
        <v>5000</v>
      </c>
      <c r="BD4" s="45">
        <v>45976</v>
      </c>
      <c r="BE4" s="46">
        <v>0</v>
      </c>
      <c r="BF4" s="46" t="s">
        <v>103</v>
      </c>
      <c r="BG4" s="46">
        <v>0</v>
      </c>
      <c r="BH4" s="46">
        <v>0</v>
      </c>
      <c r="BI4" s="46">
        <v>0</v>
      </c>
      <c r="BJ4" s="46">
        <v>0</v>
      </c>
      <c r="BK4" s="46">
        <v>0</v>
      </c>
      <c r="BL4" s="46">
        <v>0</v>
      </c>
      <c r="BM4" s="46">
        <v>0</v>
      </c>
      <c r="BN4" s="46">
        <v>0</v>
      </c>
      <c r="BO4" s="46">
        <v>0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1</v>
      </c>
      <c r="BZ4" s="46">
        <v>5000</v>
      </c>
      <c r="CA4" s="46">
        <v>5000</v>
      </c>
      <c r="CB4" s="46" t="s">
        <v>104</v>
      </c>
      <c r="CC4" s="46">
        <v>0.01</v>
      </c>
      <c r="CD4" s="46">
        <v>50</v>
      </c>
      <c r="CE4" s="46">
        <v>50</v>
      </c>
      <c r="CF4" s="46" t="s">
        <v>94</v>
      </c>
    </row>
    <row r="5" spans="1:84" s="46" customFormat="1" x14ac:dyDescent="0.3">
      <c r="A5" s="45">
        <v>45930</v>
      </c>
      <c r="B5" s="46">
        <v>202509</v>
      </c>
      <c r="C5" s="46">
        <v>3.47</v>
      </c>
      <c r="D5" s="46" t="s">
        <v>124</v>
      </c>
      <c r="E5" s="46" t="s">
        <v>125</v>
      </c>
      <c r="F5" s="46" t="s">
        <v>116</v>
      </c>
      <c r="G5" s="46" t="s">
        <v>87</v>
      </c>
      <c r="H5" s="46" t="s">
        <v>88</v>
      </c>
      <c r="I5" s="46">
        <v>46135290</v>
      </c>
      <c r="J5" s="46" t="s">
        <v>126</v>
      </c>
      <c r="K5" s="46">
        <v>20603035420</v>
      </c>
      <c r="L5" s="46" t="s">
        <v>127</v>
      </c>
      <c r="M5" s="46" t="s">
        <v>128</v>
      </c>
      <c r="N5" s="46" t="s">
        <v>129</v>
      </c>
      <c r="O5" s="46" t="s">
        <v>92</v>
      </c>
      <c r="P5" s="46" t="s">
        <v>93</v>
      </c>
      <c r="Q5" s="46">
        <v>12</v>
      </c>
      <c r="R5" s="46">
        <v>3000</v>
      </c>
      <c r="S5" s="46">
        <v>3000</v>
      </c>
      <c r="T5" s="46">
        <v>3.3300000000000003E-2</v>
      </c>
      <c r="U5" s="46">
        <v>0.48159999999999997</v>
      </c>
      <c r="X5" s="46" t="s">
        <v>94</v>
      </c>
      <c r="Y5" s="45">
        <v>45929</v>
      </c>
      <c r="Z5" s="46" t="s">
        <v>95</v>
      </c>
      <c r="AA5" s="46">
        <v>19190087709084</v>
      </c>
      <c r="AB5" s="46" t="s">
        <v>94</v>
      </c>
      <c r="AC5" s="46" t="s">
        <v>96</v>
      </c>
      <c r="AD5" s="45"/>
      <c r="AE5" s="46" t="s">
        <v>97</v>
      </c>
      <c r="AF5" s="46" t="s">
        <v>97</v>
      </c>
      <c r="AG5" s="46" t="s">
        <v>97</v>
      </c>
      <c r="AH5" s="46">
        <v>0</v>
      </c>
      <c r="AI5" s="46" t="s">
        <v>94</v>
      </c>
      <c r="AJ5" s="46" t="s">
        <v>130</v>
      </c>
      <c r="AK5" s="46" t="s">
        <v>131</v>
      </c>
      <c r="AL5" s="46" t="s">
        <v>132</v>
      </c>
      <c r="AM5" s="45"/>
      <c r="AN5" s="46" t="s">
        <v>101</v>
      </c>
      <c r="AO5" s="45"/>
      <c r="AP5" s="45">
        <v>45930</v>
      </c>
      <c r="AQ5" s="46" t="s">
        <v>102</v>
      </c>
      <c r="AR5" s="46">
        <v>0</v>
      </c>
      <c r="AS5" s="46">
        <v>0</v>
      </c>
      <c r="AT5" s="46">
        <v>0</v>
      </c>
      <c r="AU5" s="46">
        <v>0</v>
      </c>
      <c r="AV5" s="46">
        <v>0</v>
      </c>
      <c r="AW5" s="46">
        <v>3000</v>
      </c>
      <c r="AX5" s="46">
        <v>0</v>
      </c>
      <c r="AY5" s="46">
        <v>0</v>
      </c>
      <c r="AZ5" s="46">
        <v>0</v>
      </c>
      <c r="BA5" s="46">
        <v>0</v>
      </c>
      <c r="BB5" s="46">
        <v>0</v>
      </c>
      <c r="BC5" s="46">
        <v>3000</v>
      </c>
      <c r="BD5" s="45">
        <v>45986</v>
      </c>
      <c r="BE5" s="46">
        <v>0</v>
      </c>
      <c r="BF5" s="46" t="s">
        <v>103</v>
      </c>
      <c r="BG5" s="46">
        <v>0</v>
      </c>
      <c r="BH5" s="46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6">
        <v>0</v>
      </c>
      <c r="BO5" s="46">
        <v>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1</v>
      </c>
      <c r="BZ5" s="46">
        <v>3000</v>
      </c>
      <c r="CA5" s="46">
        <v>3000</v>
      </c>
      <c r="CB5" s="46" t="s">
        <v>104</v>
      </c>
      <c r="CC5" s="46">
        <v>0.01</v>
      </c>
      <c r="CD5" s="46">
        <v>30</v>
      </c>
      <c r="CE5" s="46">
        <v>30</v>
      </c>
      <c r="CF5" s="46" t="s">
        <v>199</v>
      </c>
    </row>
    <row r="6" spans="1:84" s="46" customFormat="1" x14ac:dyDescent="0.3">
      <c r="A6" s="45">
        <v>45930</v>
      </c>
      <c r="B6" s="46">
        <v>202509</v>
      </c>
      <c r="C6" s="46">
        <v>3.47</v>
      </c>
      <c r="D6" s="46" t="s">
        <v>133</v>
      </c>
      <c r="E6" s="46" t="s">
        <v>134</v>
      </c>
      <c r="F6" s="46" t="s">
        <v>86</v>
      </c>
      <c r="G6" s="46" t="s">
        <v>87</v>
      </c>
      <c r="H6" s="46" t="s">
        <v>88</v>
      </c>
      <c r="I6" s="46">
        <v>74080162</v>
      </c>
      <c r="J6" s="46" t="s">
        <v>135</v>
      </c>
      <c r="K6" s="46">
        <v>10740801622</v>
      </c>
      <c r="L6" s="46" t="s">
        <v>135</v>
      </c>
      <c r="M6" s="46" t="s">
        <v>136</v>
      </c>
      <c r="N6" s="46" t="s">
        <v>120</v>
      </c>
      <c r="O6" s="46" t="s">
        <v>92</v>
      </c>
      <c r="P6" s="46" t="s">
        <v>93</v>
      </c>
      <c r="Q6" s="46">
        <v>6</v>
      </c>
      <c r="R6" s="46">
        <v>5000</v>
      </c>
      <c r="S6" s="46">
        <v>5000</v>
      </c>
      <c r="T6" s="46">
        <v>2.58E-2</v>
      </c>
      <c r="U6" s="46">
        <v>0.35749999999999998</v>
      </c>
      <c r="X6" s="46" t="s">
        <v>94</v>
      </c>
      <c r="Y6" s="45">
        <v>45930</v>
      </c>
      <c r="Z6" s="46" t="s">
        <v>137</v>
      </c>
      <c r="AA6" s="46">
        <v>3.1260133132857619E+17</v>
      </c>
      <c r="AB6" s="46" t="s">
        <v>94</v>
      </c>
      <c r="AC6" s="46" t="s">
        <v>96</v>
      </c>
      <c r="AD6" s="45"/>
      <c r="AE6" s="46" t="s">
        <v>97</v>
      </c>
      <c r="AF6" s="46" t="s">
        <v>97</v>
      </c>
      <c r="AG6" s="46" t="s">
        <v>97</v>
      </c>
      <c r="AH6" s="46">
        <v>0</v>
      </c>
      <c r="AI6" s="46" t="s">
        <v>94</v>
      </c>
      <c r="AJ6" s="46" t="s">
        <v>138</v>
      </c>
      <c r="AK6" s="46" t="s">
        <v>139</v>
      </c>
      <c r="AL6" s="46" t="s">
        <v>140</v>
      </c>
      <c r="AM6" s="45"/>
      <c r="AN6" s="46" t="s">
        <v>101</v>
      </c>
      <c r="AO6" s="45"/>
      <c r="AP6" s="45">
        <v>45930</v>
      </c>
      <c r="AQ6" s="46" t="s">
        <v>102</v>
      </c>
      <c r="AR6" s="46">
        <v>0</v>
      </c>
      <c r="AS6" s="46">
        <v>0</v>
      </c>
      <c r="AT6" s="46">
        <v>0</v>
      </c>
      <c r="AU6" s="46">
        <v>0</v>
      </c>
      <c r="AV6" s="46">
        <v>0</v>
      </c>
      <c r="AW6" s="46">
        <v>5000</v>
      </c>
      <c r="AX6" s="46">
        <v>0</v>
      </c>
      <c r="AY6" s="46">
        <v>0</v>
      </c>
      <c r="AZ6" s="46">
        <v>0</v>
      </c>
      <c r="BA6" s="46">
        <v>0</v>
      </c>
      <c r="BB6" s="46">
        <v>0</v>
      </c>
      <c r="BC6" s="46">
        <v>5000</v>
      </c>
      <c r="BD6" s="45">
        <v>45986</v>
      </c>
      <c r="BE6" s="46">
        <v>0</v>
      </c>
      <c r="BF6" s="46" t="s">
        <v>103</v>
      </c>
      <c r="BG6" s="46">
        <v>0</v>
      </c>
      <c r="BH6" s="46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6">
        <v>0</v>
      </c>
      <c r="BO6" s="46">
        <v>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1</v>
      </c>
      <c r="BZ6" s="46">
        <v>5000</v>
      </c>
      <c r="CA6" s="46">
        <v>5000</v>
      </c>
      <c r="CB6" s="46" t="s">
        <v>104</v>
      </c>
      <c r="CC6" s="46">
        <v>0.01</v>
      </c>
      <c r="CD6" s="46">
        <v>50</v>
      </c>
      <c r="CE6" s="46">
        <v>50</v>
      </c>
      <c r="CF6" s="46" t="s">
        <v>94</v>
      </c>
    </row>
    <row r="7" spans="1:84" x14ac:dyDescent="0.3">
      <c r="A7" s="1">
        <v>45961</v>
      </c>
      <c r="B7">
        <v>202510</v>
      </c>
      <c r="C7">
        <v>3.375</v>
      </c>
      <c r="D7" t="s">
        <v>84</v>
      </c>
      <c r="E7" t="s">
        <v>85</v>
      </c>
      <c r="F7" t="s">
        <v>86</v>
      </c>
      <c r="G7" t="s">
        <v>87</v>
      </c>
      <c r="H7" t="s">
        <v>88</v>
      </c>
      <c r="I7">
        <v>40553117</v>
      </c>
      <c r="J7" t="s">
        <v>89</v>
      </c>
      <c r="K7">
        <v>10405531173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>
        <v>12</v>
      </c>
      <c r="R7">
        <v>5000</v>
      </c>
      <c r="S7">
        <v>5000</v>
      </c>
      <c r="T7">
        <v>5.0200000000000002E-2</v>
      </c>
      <c r="U7">
        <v>0.8</v>
      </c>
      <c r="V7">
        <v>428.21</v>
      </c>
      <c r="W7">
        <v>428.21</v>
      </c>
      <c r="X7" t="s">
        <v>94</v>
      </c>
      <c r="Y7" s="1">
        <v>45924</v>
      </c>
      <c r="Z7" t="s">
        <v>95</v>
      </c>
      <c r="AA7">
        <v>19102015634093</v>
      </c>
      <c r="AB7" t="s">
        <v>94</v>
      </c>
      <c r="AC7" t="s">
        <v>96</v>
      </c>
      <c r="AD7" s="1"/>
      <c r="AE7" t="s">
        <v>97</v>
      </c>
      <c r="AF7" t="s">
        <v>97</v>
      </c>
      <c r="AG7" t="s">
        <v>97</v>
      </c>
      <c r="AH7">
        <v>0</v>
      </c>
      <c r="AI7" t="s">
        <v>94</v>
      </c>
      <c r="AJ7" t="s">
        <v>98</v>
      </c>
      <c r="AK7" t="s">
        <v>99</v>
      </c>
      <c r="AL7" t="s">
        <v>100</v>
      </c>
      <c r="AM7" s="1"/>
      <c r="AN7" t="s">
        <v>101</v>
      </c>
      <c r="AO7" s="1"/>
      <c r="AP7" s="1">
        <v>45930</v>
      </c>
      <c r="AQ7" t="s">
        <v>102</v>
      </c>
      <c r="AR7">
        <v>0</v>
      </c>
      <c r="AS7">
        <v>0</v>
      </c>
      <c r="AT7">
        <v>0</v>
      </c>
      <c r="AU7">
        <v>0</v>
      </c>
      <c r="AV7">
        <v>0</v>
      </c>
      <c r="AW7">
        <v>5000</v>
      </c>
      <c r="AX7">
        <v>0</v>
      </c>
      <c r="AY7">
        <v>0</v>
      </c>
      <c r="AZ7">
        <v>0</v>
      </c>
      <c r="BA7">
        <v>0</v>
      </c>
      <c r="BB7">
        <v>0</v>
      </c>
      <c r="BC7">
        <v>5000</v>
      </c>
      <c r="BD7" s="1">
        <v>45966</v>
      </c>
      <c r="BE7">
        <v>0</v>
      </c>
      <c r="BF7" t="s">
        <v>103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104</v>
      </c>
      <c r="CC7">
        <v>0.01</v>
      </c>
      <c r="CD7">
        <v>50</v>
      </c>
      <c r="CE7">
        <v>50</v>
      </c>
      <c r="CF7" t="s">
        <v>94</v>
      </c>
    </row>
    <row r="8" spans="1:84" x14ac:dyDescent="0.3">
      <c r="A8" s="1">
        <v>45961</v>
      </c>
      <c r="B8">
        <v>202510</v>
      </c>
      <c r="C8">
        <v>3.375</v>
      </c>
      <c r="D8" t="s">
        <v>105</v>
      </c>
      <c r="E8" t="s">
        <v>106</v>
      </c>
      <c r="F8" t="s">
        <v>86</v>
      </c>
      <c r="G8" t="s">
        <v>87</v>
      </c>
      <c r="H8" t="s">
        <v>88</v>
      </c>
      <c r="I8">
        <v>47614102</v>
      </c>
      <c r="J8" t="s">
        <v>107</v>
      </c>
      <c r="K8">
        <v>10476141023</v>
      </c>
      <c r="L8" t="s">
        <v>107</v>
      </c>
      <c r="M8" t="s">
        <v>108</v>
      </c>
      <c r="N8" t="s">
        <v>109</v>
      </c>
      <c r="O8" t="s">
        <v>92</v>
      </c>
      <c r="P8" t="s">
        <v>93</v>
      </c>
      <c r="Q8">
        <v>6</v>
      </c>
      <c r="R8">
        <v>2000</v>
      </c>
      <c r="S8">
        <v>2000</v>
      </c>
      <c r="T8">
        <v>4.2799999999999998E-2</v>
      </c>
      <c r="U8">
        <v>0.65349999999999997</v>
      </c>
      <c r="V8">
        <v>19.649999999999999</v>
      </c>
      <c r="W8">
        <v>19.649999999999999</v>
      </c>
      <c r="X8" t="s">
        <v>94</v>
      </c>
      <c r="Y8" s="1">
        <v>45924</v>
      </c>
      <c r="Z8" t="s">
        <v>95</v>
      </c>
      <c r="AA8">
        <v>57090910922067</v>
      </c>
      <c r="AB8" t="s">
        <v>94</v>
      </c>
      <c r="AC8" t="s">
        <v>110</v>
      </c>
      <c r="AD8" s="1">
        <v>45931</v>
      </c>
      <c r="AE8" t="s">
        <v>97</v>
      </c>
      <c r="AF8" t="s">
        <v>97</v>
      </c>
      <c r="AG8" t="s">
        <v>97</v>
      </c>
      <c r="AH8">
        <v>0</v>
      </c>
      <c r="AI8" t="s">
        <v>94</v>
      </c>
      <c r="AJ8" t="s">
        <v>111</v>
      </c>
      <c r="AK8" t="s">
        <v>112</v>
      </c>
      <c r="AL8" t="s">
        <v>113</v>
      </c>
      <c r="AM8" s="1">
        <v>45931</v>
      </c>
      <c r="AN8" t="s">
        <v>101</v>
      </c>
      <c r="AO8" s="1">
        <v>45961</v>
      </c>
      <c r="AP8" s="1">
        <v>45930</v>
      </c>
      <c r="AQ8" t="s">
        <v>141</v>
      </c>
      <c r="AR8">
        <v>2000</v>
      </c>
      <c r="AS8">
        <v>19.649999999999999</v>
      </c>
      <c r="AT8">
        <v>0</v>
      </c>
      <c r="AU8">
        <v>0</v>
      </c>
      <c r="AV8">
        <v>2019.65</v>
      </c>
      <c r="AW8">
        <v>0</v>
      </c>
      <c r="AX8">
        <v>2000</v>
      </c>
      <c r="AY8">
        <v>19.649999999999999</v>
      </c>
      <c r="AZ8">
        <v>0</v>
      </c>
      <c r="BA8">
        <v>0</v>
      </c>
      <c r="BB8">
        <v>2019.65</v>
      </c>
      <c r="BC8">
        <v>0</v>
      </c>
      <c r="BD8" s="1"/>
      <c r="BE8">
        <v>0</v>
      </c>
      <c r="BF8" t="s">
        <v>103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104</v>
      </c>
      <c r="CC8">
        <v>0.01</v>
      </c>
      <c r="CD8">
        <v>0</v>
      </c>
      <c r="CE8">
        <v>0</v>
      </c>
      <c r="CF8" t="s">
        <v>94</v>
      </c>
    </row>
    <row r="9" spans="1:84" x14ac:dyDescent="0.3">
      <c r="A9" s="1">
        <v>45961</v>
      </c>
      <c r="B9">
        <v>202510</v>
      </c>
      <c r="C9">
        <v>3.375</v>
      </c>
      <c r="D9" t="s">
        <v>114</v>
      </c>
      <c r="E9" t="s">
        <v>115</v>
      </c>
      <c r="F9" t="s">
        <v>116</v>
      </c>
      <c r="G9" t="s">
        <v>87</v>
      </c>
      <c r="H9" t="s">
        <v>88</v>
      </c>
      <c r="I9">
        <v>41816681</v>
      </c>
      <c r="J9" t="s">
        <v>117</v>
      </c>
      <c r="K9">
        <v>20611306751</v>
      </c>
      <c r="L9" t="s">
        <v>118</v>
      </c>
      <c r="M9" t="s">
        <v>119</v>
      </c>
      <c r="N9" t="s">
        <v>120</v>
      </c>
      <c r="O9" t="s">
        <v>92</v>
      </c>
      <c r="P9" t="s">
        <v>93</v>
      </c>
      <c r="Q9">
        <v>12</v>
      </c>
      <c r="R9">
        <v>5000</v>
      </c>
      <c r="S9">
        <v>5000</v>
      </c>
      <c r="T9">
        <v>2.7799999999999998E-2</v>
      </c>
      <c r="U9">
        <v>0.3896</v>
      </c>
      <c r="X9" t="s">
        <v>94</v>
      </c>
      <c r="Y9" s="1">
        <v>45926</v>
      </c>
      <c r="Z9" t="s">
        <v>95</v>
      </c>
      <c r="AA9">
        <v>1917094078051</v>
      </c>
      <c r="AB9" t="s">
        <v>94</v>
      </c>
      <c r="AC9" t="s">
        <v>96</v>
      </c>
      <c r="AD9" s="1"/>
      <c r="AE9" t="s">
        <v>97</v>
      </c>
      <c r="AF9" t="s">
        <v>97</v>
      </c>
      <c r="AG9" t="s">
        <v>97</v>
      </c>
      <c r="AH9">
        <v>0</v>
      </c>
      <c r="AI9" t="s">
        <v>94</v>
      </c>
      <c r="AJ9" t="s">
        <v>121</v>
      </c>
      <c r="AK9" t="s">
        <v>122</v>
      </c>
      <c r="AL9" t="s">
        <v>123</v>
      </c>
      <c r="AM9" s="1"/>
      <c r="AN9" t="s">
        <v>101</v>
      </c>
      <c r="AO9" s="1"/>
      <c r="AP9" s="1">
        <v>45930</v>
      </c>
      <c r="AQ9" t="s">
        <v>102</v>
      </c>
      <c r="AR9">
        <v>0</v>
      </c>
      <c r="AS9">
        <v>0</v>
      </c>
      <c r="AT9">
        <v>0</v>
      </c>
      <c r="AU9">
        <v>0</v>
      </c>
      <c r="AV9">
        <v>0</v>
      </c>
      <c r="AW9">
        <v>5000</v>
      </c>
      <c r="AX9">
        <v>0</v>
      </c>
      <c r="AY9">
        <v>0</v>
      </c>
      <c r="AZ9">
        <v>0</v>
      </c>
      <c r="BA9">
        <v>0</v>
      </c>
      <c r="BB9">
        <v>0</v>
      </c>
      <c r="BC9">
        <v>5000</v>
      </c>
      <c r="BD9" s="1">
        <v>45976</v>
      </c>
      <c r="BE9">
        <v>0</v>
      </c>
      <c r="BF9" t="s">
        <v>103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104</v>
      </c>
      <c r="CC9">
        <v>0.01</v>
      </c>
      <c r="CD9">
        <v>50</v>
      </c>
      <c r="CE9">
        <v>50</v>
      </c>
      <c r="CF9" t="s">
        <v>94</v>
      </c>
    </row>
    <row r="10" spans="1:84" x14ac:dyDescent="0.3">
      <c r="A10" s="1">
        <v>45961</v>
      </c>
      <c r="B10">
        <v>202510</v>
      </c>
      <c r="C10">
        <v>3.375</v>
      </c>
      <c r="D10" t="s">
        <v>124</v>
      </c>
      <c r="E10" t="s">
        <v>125</v>
      </c>
      <c r="F10" t="s">
        <v>116</v>
      </c>
      <c r="G10" t="s">
        <v>87</v>
      </c>
      <c r="H10" t="s">
        <v>88</v>
      </c>
      <c r="I10">
        <v>46135290</v>
      </c>
      <c r="J10" t="s">
        <v>126</v>
      </c>
      <c r="K10">
        <v>20603035420</v>
      </c>
      <c r="L10" t="s">
        <v>127</v>
      </c>
      <c r="M10" t="s">
        <v>128</v>
      </c>
      <c r="N10" t="s">
        <v>129</v>
      </c>
      <c r="O10" t="s">
        <v>92</v>
      </c>
      <c r="P10" t="s">
        <v>93</v>
      </c>
      <c r="Q10">
        <v>12</v>
      </c>
      <c r="R10">
        <v>3000</v>
      </c>
      <c r="S10">
        <v>3000</v>
      </c>
      <c r="T10">
        <v>3.3300000000000003E-2</v>
      </c>
      <c r="U10">
        <v>0.48159999999999997</v>
      </c>
      <c r="X10" t="s">
        <v>94</v>
      </c>
      <c r="Y10" s="1">
        <v>45929</v>
      </c>
      <c r="Z10" t="s">
        <v>95</v>
      </c>
      <c r="AA10">
        <v>19190087709084</v>
      </c>
      <c r="AB10" t="s">
        <v>94</v>
      </c>
      <c r="AC10" t="s">
        <v>96</v>
      </c>
      <c r="AD10" s="1"/>
      <c r="AE10" t="s">
        <v>97</v>
      </c>
      <c r="AF10" t="s">
        <v>97</v>
      </c>
      <c r="AG10" t="s">
        <v>97</v>
      </c>
      <c r="AH10">
        <v>0</v>
      </c>
      <c r="AI10" t="s">
        <v>94</v>
      </c>
      <c r="AJ10" t="s">
        <v>130</v>
      </c>
      <c r="AK10" t="s">
        <v>131</v>
      </c>
      <c r="AL10" t="s">
        <v>132</v>
      </c>
      <c r="AM10" s="1"/>
      <c r="AN10" t="s">
        <v>101</v>
      </c>
      <c r="AO10" s="1"/>
      <c r="AP10" s="1">
        <v>45930</v>
      </c>
      <c r="AQ10" t="s">
        <v>102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3000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3000</v>
      </c>
      <c r="BD10" s="1">
        <v>45986</v>
      </c>
      <c r="BE10">
        <v>0</v>
      </c>
      <c r="BF10" t="s">
        <v>103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104</v>
      </c>
      <c r="CC10">
        <v>0.01</v>
      </c>
      <c r="CD10">
        <v>30</v>
      </c>
      <c r="CE10">
        <v>30</v>
      </c>
      <c r="CF10" t="s">
        <v>94</v>
      </c>
    </row>
    <row r="11" spans="1:84" x14ac:dyDescent="0.3">
      <c r="A11" s="1">
        <v>45961</v>
      </c>
      <c r="B11">
        <v>202510</v>
      </c>
      <c r="C11">
        <v>3.375</v>
      </c>
      <c r="D11" t="s">
        <v>133</v>
      </c>
      <c r="E11" t="s">
        <v>134</v>
      </c>
      <c r="F11" t="s">
        <v>86</v>
      </c>
      <c r="G11" t="s">
        <v>87</v>
      </c>
      <c r="H11" t="s">
        <v>88</v>
      </c>
      <c r="I11">
        <v>74080162</v>
      </c>
      <c r="J11" t="s">
        <v>135</v>
      </c>
      <c r="K11">
        <v>10740801622</v>
      </c>
      <c r="L11" t="s">
        <v>135</v>
      </c>
      <c r="M11" t="s">
        <v>136</v>
      </c>
      <c r="N11" t="s">
        <v>120</v>
      </c>
      <c r="O11" t="s">
        <v>92</v>
      </c>
      <c r="P11" t="s">
        <v>93</v>
      </c>
      <c r="Q11">
        <v>6</v>
      </c>
      <c r="R11">
        <v>5000</v>
      </c>
      <c r="S11">
        <v>5000</v>
      </c>
      <c r="T11">
        <v>2.58E-2</v>
      </c>
      <c r="U11">
        <v>0.35749999999999998</v>
      </c>
      <c r="X11" t="s">
        <v>94</v>
      </c>
      <c r="Y11" s="1">
        <v>45930</v>
      </c>
      <c r="Z11" t="s">
        <v>137</v>
      </c>
      <c r="AA11">
        <v>3.1260133132857619E+17</v>
      </c>
      <c r="AB11" t="s">
        <v>94</v>
      </c>
      <c r="AC11" t="s">
        <v>96</v>
      </c>
      <c r="AD11" s="1"/>
      <c r="AE11" t="s">
        <v>97</v>
      </c>
      <c r="AF11" t="s">
        <v>97</v>
      </c>
      <c r="AG11" t="s">
        <v>97</v>
      </c>
      <c r="AH11">
        <v>0</v>
      </c>
      <c r="AI11" t="s">
        <v>94</v>
      </c>
      <c r="AJ11" t="s">
        <v>138</v>
      </c>
      <c r="AK11" t="s">
        <v>139</v>
      </c>
      <c r="AL11" t="s">
        <v>140</v>
      </c>
      <c r="AM11" s="1"/>
      <c r="AN11" t="s">
        <v>101</v>
      </c>
      <c r="AO11" s="1"/>
      <c r="AP11" s="1">
        <v>45930</v>
      </c>
      <c r="AQ11" t="s">
        <v>102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5000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5000</v>
      </c>
      <c r="BD11" s="1">
        <v>45986</v>
      </c>
      <c r="BE11">
        <v>0</v>
      </c>
      <c r="BF11" t="s">
        <v>103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104</v>
      </c>
      <c r="CC11">
        <v>0.01</v>
      </c>
      <c r="CD11">
        <v>50</v>
      </c>
      <c r="CE11">
        <v>50</v>
      </c>
      <c r="CF11" t="s">
        <v>94</v>
      </c>
    </row>
    <row r="12" spans="1:84" x14ac:dyDescent="0.3">
      <c r="A12" s="1">
        <v>45961</v>
      </c>
      <c r="B12">
        <v>202510</v>
      </c>
      <c r="C12">
        <v>3.375</v>
      </c>
      <c r="D12" t="s">
        <v>105</v>
      </c>
      <c r="E12" t="s">
        <v>142</v>
      </c>
      <c r="F12" t="s">
        <v>86</v>
      </c>
      <c r="G12" t="s">
        <v>143</v>
      </c>
      <c r="H12" t="s">
        <v>88</v>
      </c>
      <c r="I12">
        <v>47614102</v>
      </c>
      <c r="J12" t="s">
        <v>107</v>
      </c>
      <c r="K12">
        <v>10476141023</v>
      </c>
      <c r="L12" t="s">
        <v>107</v>
      </c>
      <c r="M12" t="s">
        <v>108</v>
      </c>
      <c r="N12" t="s">
        <v>109</v>
      </c>
      <c r="O12" t="s">
        <v>92</v>
      </c>
      <c r="P12" t="s">
        <v>93</v>
      </c>
      <c r="Q12">
        <v>6</v>
      </c>
      <c r="R12">
        <v>4000</v>
      </c>
      <c r="S12">
        <v>4000</v>
      </c>
      <c r="T12">
        <v>4.65E-2</v>
      </c>
      <c r="U12">
        <v>0.72529999999999994</v>
      </c>
      <c r="X12" t="s">
        <v>94</v>
      </c>
      <c r="Y12" s="1">
        <v>45931</v>
      </c>
      <c r="Z12" t="s">
        <v>95</v>
      </c>
      <c r="AA12">
        <v>57090910922067</v>
      </c>
      <c r="AB12" t="s">
        <v>144</v>
      </c>
      <c r="AC12" t="s">
        <v>96</v>
      </c>
      <c r="AD12" s="1"/>
      <c r="AE12" t="s">
        <v>97</v>
      </c>
      <c r="AF12" t="s">
        <v>97</v>
      </c>
      <c r="AG12" t="s">
        <v>97</v>
      </c>
      <c r="AH12">
        <v>0</v>
      </c>
      <c r="AI12" t="s">
        <v>94</v>
      </c>
      <c r="AJ12" t="s">
        <v>111</v>
      </c>
      <c r="AK12" t="s">
        <v>112</v>
      </c>
      <c r="AL12" t="s">
        <v>113</v>
      </c>
      <c r="AM12" s="1"/>
      <c r="AN12" t="s">
        <v>101</v>
      </c>
      <c r="AO12" s="1"/>
      <c r="AP12" s="1">
        <v>45961</v>
      </c>
      <c r="AQ12" t="s">
        <v>102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4000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4000</v>
      </c>
      <c r="BD12" s="1">
        <v>45976</v>
      </c>
      <c r="BE12">
        <v>0</v>
      </c>
      <c r="BF12" t="s">
        <v>103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4000</v>
      </c>
      <c r="CA12">
        <v>4000</v>
      </c>
      <c r="CB12" t="s">
        <v>104</v>
      </c>
      <c r="CC12">
        <v>0.01</v>
      </c>
      <c r="CD12">
        <v>40</v>
      </c>
      <c r="CE12">
        <v>40</v>
      </c>
      <c r="CF12" t="s">
        <v>94</v>
      </c>
    </row>
    <row r="13" spans="1:84" x14ac:dyDescent="0.3">
      <c r="A13" s="1">
        <v>45961</v>
      </c>
      <c r="B13">
        <v>202510</v>
      </c>
      <c r="C13">
        <v>3.375</v>
      </c>
      <c r="D13" t="s">
        <v>145</v>
      </c>
      <c r="E13" t="s">
        <v>146</v>
      </c>
      <c r="F13" t="s">
        <v>86</v>
      </c>
      <c r="G13" t="s">
        <v>87</v>
      </c>
      <c r="H13" t="s">
        <v>88</v>
      </c>
      <c r="I13">
        <v>47550887</v>
      </c>
      <c r="J13" t="s">
        <v>147</v>
      </c>
      <c r="K13">
        <v>10475508870</v>
      </c>
      <c r="L13" t="s">
        <v>147</v>
      </c>
      <c r="M13" t="s">
        <v>148</v>
      </c>
      <c r="N13" t="s">
        <v>149</v>
      </c>
      <c r="O13" t="s">
        <v>92</v>
      </c>
      <c r="P13" t="s">
        <v>93</v>
      </c>
      <c r="Q13">
        <v>10</v>
      </c>
      <c r="R13">
        <v>5000</v>
      </c>
      <c r="S13">
        <v>5000</v>
      </c>
      <c r="T13">
        <v>5.16E-2</v>
      </c>
      <c r="U13">
        <v>0.82899999999999996</v>
      </c>
      <c r="X13" t="s">
        <v>94</v>
      </c>
      <c r="Y13" s="1">
        <v>45957</v>
      </c>
      <c r="Z13" t="s">
        <v>95</v>
      </c>
      <c r="AA13">
        <v>35532284031069</v>
      </c>
      <c r="AB13" t="s">
        <v>94</v>
      </c>
      <c r="AC13" t="s">
        <v>96</v>
      </c>
      <c r="AD13" s="1"/>
      <c r="AE13" t="s">
        <v>97</v>
      </c>
      <c r="AF13" t="s">
        <v>97</v>
      </c>
      <c r="AG13" t="s">
        <v>97</v>
      </c>
      <c r="AH13">
        <v>0</v>
      </c>
      <c r="AI13" t="s">
        <v>94</v>
      </c>
      <c r="AJ13" t="s">
        <v>150</v>
      </c>
      <c r="AK13" t="s">
        <v>151</v>
      </c>
      <c r="AL13" t="s">
        <v>152</v>
      </c>
      <c r="AM13" s="1"/>
      <c r="AN13" t="s">
        <v>101</v>
      </c>
      <c r="AO13" s="1"/>
      <c r="AP13" s="1">
        <v>45961</v>
      </c>
      <c r="AQ13" t="s">
        <v>102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5000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5000</v>
      </c>
      <c r="BD13" s="1">
        <v>45996</v>
      </c>
      <c r="BE13">
        <v>0</v>
      </c>
      <c r="BF13" t="s">
        <v>103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5000</v>
      </c>
      <c r="CA13">
        <v>5000</v>
      </c>
      <c r="CB13" t="s">
        <v>104</v>
      </c>
      <c r="CC13">
        <v>0.01</v>
      </c>
      <c r="CD13">
        <v>50</v>
      </c>
      <c r="CE13">
        <v>50</v>
      </c>
      <c r="CF13" t="s">
        <v>94</v>
      </c>
    </row>
    <row r="14" spans="1:84" x14ac:dyDescent="0.3">
      <c r="A14" s="1">
        <v>45991</v>
      </c>
      <c r="B14">
        <v>202511</v>
      </c>
      <c r="C14">
        <v>3.367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>
        <v>40553117</v>
      </c>
      <c r="J14" t="s">
        <v>89</v>
      </c>
      <c r="K14">
        <v>10405531173</v>
      </c>
      <c r="L14" t="s">
        <v>89</v>
      </c>
      <c r="M14" t="s">
        <v>90</v>
      </c>
      <c r="N14" t="s">
        <v>91</v>
      </c>
      <c r="O14" t="s">
        <v>92</v>
      </c>
      <c r="P14" t="s">
        <v>93</v>
      </c>
      <c r="Q14">
        <v>12</v>
      </c>
      <c r="R14">
        <v>5000</v>
      </c>
      <c r="S14">
        <v>5000</v>
      </c>
      <c r="T14">
        <v>5.0200000000000002E-2</v>
      </c>
      <c r="U14">
        <v>0.8</v>
      </c>
      <c r="V14">
        <v>428.21</v>
      </c>
      <c r="W14">
        <v>428.21</v>
      </c>
      <c r="X14" t="s">
        <v>94</v>
      </c>
      <c r="Y14" s="1">
        <v>45924</v>
      </c>
      <c r="Z14" t="s">
        <v>95</v>
      </c>
      <c r="AA14">
        <v>19102015634093</v>
      </c>
      <c r="AB14" t="s">
        <v>94</v>
      </c>
      <c r="AC14" t="s">
        <v>96</v>
      </c>
      <c r="AD14" s="1"/>
      <c r="AE14" t="s">
        <v>97</v>
      </c>
      <c r="AF14" t="s">
        <v>97</v>
      </c>
      <c r="AG14" t="s">
        <v>97</v>
      </c>
      <c r="AH14">
        <v>0</v>
      </c>
      <c r="AI14" t="s">
        <v>94</v>
      </c>
      <c r="AJ14" t="s">
        <v>98</v>
      </c>
      <c r="AK14" t="s">
        <v>99</v>
      </c>
      <c r="AL14" t="s">
        <v>100</v>
      </c>
      <c r="AM14" s="1"/>
      <c r="AN14" t="s">
        <v>101</v>
      </c>
      <c r="AO14" s="1"/>
      <c r="AP14" s="1">
        <v>45930</v>
      </c>
      <c r="AQ14" t="s">
        <v>102</v>
      </c>
      <c r="AR14">
        <v>313.76</v>
      </c>
      <c r="AS14">
        <v>346.16</v>
      </c>
      <c r="AT14">
        <v>0</v>
      </c>
      <c r="AU14">
        <v>0</v>
      </c>
      <c r="AV14">
        <v>659.92</v>
      </c>
      <c r="AW14">
        <v>4686.24</v>
      </c>
      <c r="AX14">
        <v>313.76</v>
      </c>
      <c r="AY14">
        <v>346.16</v>
      </c>
      <c r="AZ14">
        <v>0</v>
      </c>
      <c r="BA14">
        <v>0</v>
      </c>
      <c r="BB14">
        <v>659.92</v>
      </c>
      <c r="BC14">
        <v>4686.24</v>
      </c>
      <c r="BD14" s="1">
        <v>45996</v>
      </c>
      <c r="BE14">
        <v>0</v>
      </c>
      <c r="BF14" t="s">
        <v>103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104</v>
      </c>
      <c r="CC14">
        <v>0.01</v>
      </c>
      <c r="CD14">
        <v>46.86</v>
      </c>
      <c r="CE14">
        <v>46.86</v>
      </c>
      <c r="CF14" t="s">
        <v>94</v>
      </c>
    </row>
    <row r="15" spans="1:84" x14ac:dyDescent="0.3">
      <c r="A15" s="1">
        <v>45991</v>
      </c>
      <c r="B15">
        <v>202511</v>
      </c>
      <c r="C15">
        <v>3.367</v>
      </c>
      <c r="D15" t="s">
        <v>114</v>
      </c>
      <c r="E15" t="s">
        <v>115</v>
      </c>
      <c r="F15" t="s">
        <v>116</v>
      </c>
      <c r="G15" t="s">
        <v>87</v>
      </c>
      <c r="H15" t="s">
        <v>88</v>
      </c>
      <c r="I15">
        <v>41816681</v>
      </c>
      <c r="J15" t="s">
        <v>117</v>
      </c>
      <c r="K15">
        <v>20611306751</v>
      </c>
      <c r="L15" t="s">
        <v>118</v>
      </c>
      <c r="M15" t="s">
        <v>119</v>
      </c>
      <c r="N15" t="s">
        <v>120</v>
      </c>
      <c r="O15" t="s">
        <v>92</v>
      </c>
      <c r="P15" t="s">
        <v>93</v>
      </c>
      <c r="Q15">
        <v>12</v>
      </c>
      <c r="R15">
        <v>5000</v>
      </c>
      <c r="S15">
        <v>5000</v>
      </c>
      <c r="T15">
        <v>2.7799999999999998E-2</v>
      </c>
      <c r="U15">
        <v>0.3896</v>
      </c>
      <c r="X15" t="s">
        <v>94</v>
      </c>
      <c r="Y15" s="1">
        <v>45926</v>
      </c>
      <c r="Z15" t="s">
        <v>95</v>
      </c>
      <c r="AA15">
        <v>1917094078051</v>
      </c>
      <c r="AB15" t="s">
        <v>94</v>
      </c>
      <c r="AC15" t="s">
        <v>96</v>
      </c>
      <c r="AD15" s="1"/>
      <c r="AE15" t="s">
        <v>97</v>
      </c>
      <c r="AF15" t="s">
        <v>97</v>
      </c>
      <c r="AG15" t="s">
        <v>97</v>
      </c>
      <c r="AH15">
        <v>0</v>
      </c>
      <c r="AI15" t="s">
        <v>94</v>
      </c>
      <c r="AJ15" t="s">
        <v>121</v>
      </c>
      <c r="AK15" t="s">
        <v>122</v>
      </c>
      <c r="AL15" t="s">
        <v>123</v>
      </c>
      <c r="AM15" s="1"/>
      <c r="AN15" t="s">
        <v>101</v>
      </c>
      <c r="AO15" s="1"/>
      <c r="AP15" s="1">
        <v>45930</v>
      </c>
      <c r="AQ15" t="s">
        <v>102</v>
      </c>
      <c r="AR15">
        <v>356.74</v>
      </c>
      <c r="AS15">
        <v>229.03</v>
      </c>
      <c r="AT15">
        <v>0</v>
      </c>
      <c r="AU15">
        <v>0</v>
      </c>
      <c r="AV15">
        <v>585.77</v>
      </c>
      <c r="AW15">
        <v>4643.26</v>
      </c>
      <c r="AX15">
        <v>356.74</v>
      </c>
      <c r="AY15">
        <v>229.03</v>
      </c>
      <c r="AZ15">
        <v>0</v>
      </c>
      <c r="BA15">
        <v>0</v>
      </c>
      <c r="BB15">
        <v>585.77</v>
      </c>
      <c r="BC15">
        <v>4643.26</v>
      </c>
      <c r="BD15" s="1">
        <v>46006</v>
      </c>
      <c r="BE15">
        <v>0</v>
      </c>
      <c r="BF15" t="s">
        <v>103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104</v>
      </c>
      <c r="CC15">
        <v>0.01</v>
      </c>
      <c r="CD15">
        <v>46.43</v>
      </c>
      <c r="CE15">
        <v>46.43</v>
      </c>
      <c r="CF15" t="s">
        <v>94</v>
      </c>
    </row>
    <row r="16" spans="1:84" x14ac:dyDescent="0.3">
      <c r="A16" s="1">
        <v>45991</v>
      </c>
      <c r="B16">
        <v>202511</v>
      </c>
      <c r="C16">
        <v>3.367</v>
      </c>
      <c r="D16" t="s">
        <v>124</v>
      </c>
      <c r="E16" t="s">
        <v>125</v>
      </c>
      <c r="F16" t="s">
        <v>116</v>
      </c>
      <c r="G16" t="s">
        <v>87</v>
      </c>
      <c r="H16" t="s">
        <v>88</v>
      </c>
      <c r="I16">
        <v>46135290</v>
      </c>
      <c r="J16" t="s">
        <v>126</v>
      </c>
      <c r="K16">
        <v>20603035420</v>
      </c>
      <c r="L16" t="s">
        <v>127</v>
      </c>
      <c r="M16" t="s">
        <v>128</v>
      </c>
      <c r="N16" t="s">
        <v>129</v>
      </c>
      <c r="O16" t="s">
        <v>92</v>
      </c>
      <c r="P16" t="s">
        <v>93</v>
      </c>
      <c r="Q16">
        <v>12</v>
      </c>
      <c r="R16">
        <v>3000</v>
      </c>
      <c r="S16">
        <v>3000</v>
      </c>
      <c r="T16">
        <v>3.3300000000000003E-2</v>
      </c>
      <c r="U16">
        <v>0.48159999999999997</v>
      </c>
      <c r="X16" t="s">
        <v>94</v>
      </c>
      <c r="Y16" s="1">
        <v>45929</v>
      </c>
      <c r="Z16" t="s">
        <v>95</v>
      </c>
      <c r="AA16">
        <v>19190087709084</v>
      </c>
      <c r="AB16" t="s">
        <v>94</v>
      </c>
      <c r="AC16" t="s">
        <v>96</v>
      </c>
      <c r="AD16" s="1"/>
      <c r="AE16" t="s">
        <v>97</v>
      </c>
      <c r="AF16" t="s">
        <v>97</v>
      </c>
      <c r="AG16" t="s">
        <v>97</v>
      </c>
      <c r="AH16">
        <v>0</v>
      </c>
      <c r="AI16" t="s">
        <v>94</v>
      </c>
      <c r="AJ16" t="s">
        <v>130</v>
      </c>
      <c r="AK16" t="s">
        <v>131</v>
      </c>
      <c r="AL16" t="s">
        <v>132</v>
      </c>
      <c r="AM16" s="1"/>
      <c r="AN16" t="s">
        <v>101</v>
      </c>
      <c r="AO16" s="1"/>
      <c r="AP16" s="1">
        <v>45930</v>
      </c>
      <c r="AQ16" t="s">
        <v>102</v>
      </c>
      <c r="AR16">
        <v>207.45</v>
      </c>
      <c r="AS16">
        <v>189.17</v>
      </c>
      <c r="AT16">
        <v>0</v>
      </c>
      <c r="AU16">
        <v>0</v>
      </c>
      <c r="AV16">
        <v>396.62</v>
      </c>
      <c r="AW16">
        <v>2792.55</v>
      </c>
      <c r="AX16">
        <v>207.45</v>
      </c>
      <c r="AY16">
        <v>189.17</v>
      </c>
      <c r="AZ16">
        <v>0</v>
      </c>
      <c r="BA16">
        <v>0</v>
      </c>
      <c r="BB16">
        <v>396.62</v>
      </c>
      <c r="BC16">
        <v>2792.55</v>
      </c>
      <c r="BD16" s="1">
        <v>46016</v>
      </c>
      <c r="BE16">
        <v>0</v>
      </c>
      <c r="BF16" t="s">
        <v>103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s">
        <v>104</v>
      </c>
      <c r="CC16">
        <v>0.01</v>
      </c>
      <c r="CD16">
        <v>27.93</v>
      </c>
      <c r="CE16">
        <v>27.93</v>
      </c>
      <c r="CF16" t="s">
        <v>94</v>
      </c>
    </row>
    <row r="17" spans="1:84" x14ac:dyDescent="0.3">
      <c r="A17" s="1">
        <v>45991</v>
      </c>
      <c r="B17">
        <v>202511</v>
      </c>
      <c r="C17">
        <v>3.367</v>
      </c>
      <c r="D17" t="s">
        <v>133</v>
      </c>
      <c r="E17" t="s">
        <v>134</v>
      </c>
      <c r="F17" t="s">
        <v>86</v>
      </c>
      <c r="G17" t="s">
        <v>87</v>
      </c>
      <c r="H17" t="s">
        <v>88</v>
      </c>
      <c r="I17">
        <v>74080162</v>
      </c>
      <c r="J17" t="s">
        <v>135</v>
      </c>
      <c r="K17">
        <v>10740801622</v>
      </c>
      <c r="L17" t="s">
        <v>135</v>
      </c>
      <c r="M17" t="s">
        <v>136</v>
      </c>
      <c r="N17" t="s">
        <v>120</v>
      </c>
      <c r="O17" t="s">
        <v>92</v>
      </c>
      <c r="P17" t="s">
        <v>93</v>
      </c>
      <c r="Q17">
        <v>6</v>
      </c>
      <c r="R17">
        <v>5000</v>
      </c>
      <c r="S17">
        <v>5000</v>
      </c>
      <c r="T17">
        <v>2.58E-2</v>
      </c>
      <c r="U17">
        <v>0.35749999999999998</v>
      </c>
      <c r="X17" t="s">
        <v>94</v>
      </c>
      <c r="Y17" s="1">
        <v>45930</v>
      </c>
      <c r="Z17" t="s">
        <v>137</v>
      </c>
      <c r="AA17">
        <v>3.1260133132857619E+17</v>
      </c>
      <c r="AB17" t="s">
        <v>94</v>
      </c>
      <c r="AC17" t="s">
        <v>96</v>
      </c>
      <c r="AD17" s="1"/>
      <c r="AE17" t="s">
        <v>97</v>
      </c>
      <c r="AF17" t="s">
        <v>97</v>
      </c>
      <c r="AG17" t="s">
        <v>97</v>
      </c>
      <c r="AH17">
        <v>0</v>
      </c>
      <c r="AI17" t="s">
        <v>94</v>
      </c>
      <c r="AJ17" t="s">
        <v>138</v>
      </c>
      <c r="AK17" t="s">
        <v>139</v>
      </c>
      <c r="AL17" t="s">
        <v>140</v>
      </c>
      <c r="AM17" s="1"/>
      <c r="AN17" t="s">
        <v>101</v>
      </c>
      <c r="AO17" s="1"/>
      <c r="AP17" s="1">
        <v>45930</v>
      </c>
      <c r="AQ17" t="s">
        <v>102</v>
      </c>
      <c r="AR17">
        <v>781.18</v>
      </c>
      <c r="AS17">
        <v>239.04</v>
      </c>
      <c r="AT17">
        <v>0</v>
      </c>
      <c r="AU17">
        <v>0</v>
      </c>
      <c r="AV17">
        <v>1020.22</v>
      </c>
      <c r="AW17">
        <v>4218.82</v>
      </c>
      <c r="AX17">
        <v>781.18</v>
      </c>
      <c r="AY17">
        <v>239.04</v>
      </c>
      <c r="AZ17">
        <v>0</v>
      </c>
      <c r="BA17">
        <v>0</v>
      </c>
      <c r="BB17">
        <v>1020.22</v>
      </c>
      <c r="BC17">
        <v>4218.82</v>
      </c>
      <c r="BD17" s="1">
        <v>46016</v>
      </c>
      <c r="BE17">
        <v>0</v>
      </c>
      <c r="BF17" t="s">
        <v>103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s">
        <v>104</v>
      </c>
      <c r="CC17">
        <v>0.01</v>
      </c>
      <c r="CD17">
        <v>42.19</v>
      </c>
      <c r="CE17">
        <v>42.19</v>
      </c>
      <c r="CF17" t="s">
        <v>94</v>
      </c>
    </row>
    <row r="18" spans="1:84" x14ac:dyDescent="0.3">
      <c r="A18" s="1">
        <v>45991</v>
      </c>
      <c r="B18">
        <v>202511</v>
      </c>
      <c r="C18">
        <v>3.367</v>
      </c>
      <c r="D18" t="s">
        <v>105</v>
      </c>
      <c r="E18" t="s">
        <v>142</v>
      </c>
      <c r="F18" t="s">
        <v>86</v>
      </c>
      <c r="G18" t="s">
        <v>143</v>
      </c>
      <c r="H18" t="s">
        <v>88</v>
      </c>
      <c r="I18">
        <v>47614102</v>
      </c>
      <c r="J18" t="s">
        <v>107</v>
      </c>
      <c r="K18">
        <v>10476141023</v>
      </c>
      <c r="L18" t="s">
        <v>107</v>
      </c>
      <c r="M18" t="s">
        <v>108</v>
      </c>
      <c r="N18" t="s">
        <v>109</v>
      </c>
      <c r="O18" t="s">
        <v>92</v>
      </c>
      <c r="P18" t="s">
        <v>93</v>
      </c>
      <c r="Q18">
        <v>6</v>
      </c>
      <c r="R18">
        <v>4000</v>
      </c>
      <c r="S18">
        <v>4000</v>
      </c>
      <c r="T18">
        <v>4.65E-2</v>
      </c>
      <c r="U18">
        <v>0.72529999999999994</v>
      </c>
      <c r="X18" t="s">
        <v>94</v>
      </c>
      <c r="Y18" s="1">
        <v>45931</v>
      </c>
      <c r="Z18" t="s">
        <v>95</v>
      </c>
      <c r="AA18">
        <v>57090910922067</v>
      </c>
      <c r="AB18" t="s">
        <v>144</v>
      </c>
      <c r="AC18" t="s">
        <v>96</v>
      </c>
      <c r="AD18" s="1"/>
      <c r="AE18" t="s">
        <v>97</v>
      </c>
      <c r="AF18" t="s">
        <v>97</v>
      </c>
      <c r="AG18" t="s">
        <v>97</v>
      </c>
      <c r="AH18">
        <v>0</v>
      </c>
      <c r="AI18" t="s">
        <v>94</v>
      </c>
      <c r="AJ18" t="s">
        <v>111</v>
      </c>
      <c r="AK18" t="s">
        <v>112</v>
      </c>
      <c r="AL18" t="s">
        <v>113</v>
      </c>
      <c r="AM18" s="1"/>
      <c r="AN18" t="s">
        <v>101</v>
      </c>
      <c r="AO18" s="1"/>
      <c r="AP18" s="1">
        <v>45961</v>
      </c>
      <c r="AQ18" t="s">
        <v>102</v>
      </c>
      <c r="AR18">
        <v>593.27</v>
      </c>
      <c r="AS18">
        <v>275.74</v>
      </c>
      <c r="AT18">
        <v>17.21</v>
      </c>
      <c r="AU18">
        <v>5.16</v>
      </c>
      <c r="AV18">
        <v>891.38</v>
      </c>
      <c r="AW18">
        <v>3406.73</v>
      </c>
      <c r="AX18">
        <v>593.27</v>
      </c>
      <c r="AY18">
        <v>275.74</v>
      </c>
      <c r="AZ18">
        <v>17.21</v>
      </c>
      <c r="BA18">
        <v>5.16</v>
      </c>
      <c r="BB18">
        <v>891.38</v>
      </c>
      <c r="BC18">
        <v>3406.73</v>
      </c>
      <c r="BD18" s="1">
        <v>46006</v>
      </c>
      <c r="BE18">
        <v>0</v>
      </c>
      <c r="BF18" t="s">
        <v>103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s">
        <v>104</v>
      </c>
      <c r="CC18">
        <v>0.01</v>
      </c>
      <c r="CD18">
        <v>34.07</v>
      </c>
      <c r="CE18">
        <v>34.07</v>
      </c>
      <c r="CF18" t="s">
        <v>94</v>
      </c>
    </row>
    <row r="19" spans="1:84" x14ac:dyDescent="0.3">
      <c r="A19" s="1">
        <v>45991</v>
      </c>
      <c r="B19">
        <v>202511</v>
      </c>
      <c r="C19">
        <v>3.367</v>
      </c>
      <c r="D19" t="s">
        <v>145</v>
      </c>
      <c r="E19" t="s">
        <v>146</v>
      </c>
      <c r="F19" t="s">
        <v>86</v>
      </c>
      <c r="G19" t="s">
        <v>87</v>
      </c>
      <c r="H19" t="s">
        <v>88</v>
      </c>
      <c r="I19">
        <v>47550887</v>
      </c>
      <c r="J19" t="s">
        <v>147</v>
      </c>
      <c r="K19">
        <v>10475508870</v>
      </c>
      <c r="L19" t="s">
        <v>147</v>
      </c>
      <c r="M19" t="s">
        <v>148</v>
      </c>
      <c r="N19" t="s">
        <v>149</v>
      </c>
      <c r="O19" t="s">
        <v>92</v>
      </c>
      <c r="P19" t="s">
        <v>93</v>
      </c>
      <c r="Q19">
        <v>10</v>
      </c>
      <c r="R19">
        <v>5000</v>
      </c>
      <c r="S19">
        <v>5000</v>
      </c>
      <c r="T19">
        <v>5.16E-2</v>
      </c>
      <c r="U19">
        <v>0.82899999999999996</v>
      </c>
      <c r="X19" t="s">
        <v>94</v>
      </c>
      <c r="Y19" s="1">
        <v>45957</v>
      </c>
      <c r="Z19" t="s">
        <v>95</v>
      </c>
      <c r="AA19">
        <v>35532284031069</v>
      </c>
      <c r="AB19" t="s">
        <v>94</v>
      </c>
      <c r="AC19" t="s">
        <v>96</v>
      </c>
      <c r="AD19" s="1"/>
      <c r="AE19" t="s">
        <v>97</v>
      </c>
      <c r="AF19" t="s">
        <v>97</v>
      </c>
      <c r="AG19" t="s">
        <v>97</v>
      </c>
      <c r="AH19">
        <v>0</v>
      </c>
      <c r="AI19" t="s">
        <v>94</v>
      </c>
      <c r="AJ19" t="s">
        <v>150</v>
      </c>
      <c r="AK19" t="s">
        <v>151</v>
      </c>
      <c r="AL19" t="s">
        <v>152</v>
      </c>
      <c r="AM19" s="1"/>
      <c r="AN19" t="s">
        <v>101</v>
      </c>
      <c r="AO19" s="1"/>
      <c r="AP19" s="1">
        <v>45961</v>
      </c>
      <c r="AQ19" t="s">
        <v>102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5000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5000</v>
      </c>
      <c r="BD19" s="1">
        <v>45996</v>
      </c>
      <c r="BE19">
        <v>0</v>
      </c>
      <c r="BF19" t="s">
        <v>103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s">
        <v>104</v>
      </c>
      <c r="CC19">
        <v>0.01</v>
      </c>
      <c r="CD19">
        <v>50</v>
      </c>
      <c r="CE19">
        <v>50</v>
      </c>
      <c r="CF19" t="s">
        <v>94</v>
      </c>
    </row>
    <row r="20" spans="1:84" x14ac:dyDescent="0.3">
      <c r="A20" s="1">
        <v>45991</v>
      </c>
      <c r="B20">
        <v>202511</v>
      </c>
      <c r="C20">
        <v>3.367</v>
      </c>
      <c r="D20" t="s">
        <v>153</v>
      </c>
      <c r="E20" t="s">
        <v>154</v>
      </c>
      <c r="F20" t="s">
        <v>116</v>
      </c>
      <c r="G20" t="s">
        <v>87</v>
      </c>
      <c r="H20" t="s">
        <v>88</v>
      </c>
      <c r="I20">
        <v>43658376</v>
      </c>
      <c r="J20" t="s">
        <v>155</v>
      </c>
      <c r="K20">
        <v>20605815368</v>
      </c>
      <c r="L20" t="s">
        <v>156</v>
      </c>
      <c r="M20" t="s">
        <v>157</v>
      </c>
      <c r="N20" t="s">
        <v>129</v>
      </c>
      <c r="O20" t="s">
        <v>92</v>
      </c>
      <c r="P20" t="s">
        <v>93</v>
      </c>
      <c r="Q20">
        <v>6</v>
      </c>
      <c r="R20">
        <v>5000</v>
      </c>
      <c r="S20">
        <v>5000</v>
      </c>
      <c r="T20">
        <v>3.27E-2</v>
      </c>
      <c r="U20">
        <v>0.4713</v>
      </c>
      <c r="X20" t="s">
        <v>94</v>
      </c>
      <c r="Y20" s="1">
        <v>45985</v>
      </c>
      <c r="Z20" t="s">
        <v>158</v>
      </c>
      <c r="AA20">
        <v>1.1157000200678295E+18</v>
      </c>
      <c r="AB20" t="s">
        <v>94</v>
      </c>
      <c r="AC20" t="s">
        <v>96</v>
      </c>
      <c r="AD20" s="1"/>
      <c r="AE20" t="s">
        <v>97</v>
      </c>
      <c r="AF20" t="s">
        <v>97</v>
      </c>
      <c r="AG20" t="s">
        <v>97</v>
      </c>
      <c r="AH20">
        <v>0</v>
      </c>
      <c r="AI20" t="s">
        <v>94</v>
      </c>
      <c r="AJ20" t="s">
        <v>159</v>
      </c>
      <c r="AK20" t="s">
        <v>160</v>
      </c>
      <c r="AL20" t="s">
        <v>161</v>
      </c>
      <c r="AM20" s="1"/>
      <c r="AN20" t="s">
        <v>162</v>
      </c>
      <c r="AO20" s="1"/>
      <c r="AP20" s="1">
        <v>45991</v>
      </c>
      <c r="AQ20" t="s">
        <v>102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5000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5000</v>
      </c>
      <c r="BD20" s="1">
        <v>46016</v>
      </c>
      <c r="BE20">
        <v>0</v>
      </c>
      <c r="BF20" t="s">
        <v>103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5000</v>
      </c>
      <c r="CA20">
        <v>5000</v>
      </c>
      <c r="CB20" t="s">
        <v>104</v>
      </c>
      <c r="CC20">
        <v>0.01</v>
      </c>
      <c r="CD20">
        <v>50</v>
      </c>
      <c r="CE20">
        <v>50</v>
      </c>
      <c r="CF20" t="s">
        <v>94</v>
      </c>
    </row>
    <row r="21" spans="1:84" x14ac:dyDescent="0.3">
      <c r="A21" s="1">
        <v>46022</v>
      </c>
      <c r="B21">
        <v>202512</v>
      </c>
      <c r="C21">
        <v>3.5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>
        <v>40553117</v>
      </c>
      <c r="J21" t="s">
        <v>89</v>
      </c>
      <c r="K21">
        <v>10405531173</v>
      </c>
      <c r="L21" t="s">
        <v>89</v>
      </c>
      <c r="M21" t="s">
        <v>90</v>
      </c>
      <c r="N21" t="s">
        <v>91</v>
      </c>
      <c r="O21" t="s">
        <v>92</v>
      </c>
      <c r="P21" t="s">
        <v>93</v>
      </c>
      <c r="Q21">
        <v>12</v>
      </c>
      <c r="R21">
        <v>5000</v>
      </c>
      <c r="S21">
        <v>5000</v>
      </c>
      <c r="T21">
        <v>5.0200000000000002E-2</v>
      </c>
      <c r="U21">
        <v>0.8</v>
      </c>
      <c r="V21">
        <v>428.21</v>
      </c>
      <c r="W21">
        <v>428.21</v>
      </c>
      <c r="X21" t="s">
        <v>94</v>
      </c>
      <c r="Y21" s="1">
        <v>45924</v>
      </c>
      <c r="Z21" t="s">
        <v>95</v>
      </c>
      <c r="AA21">
        <v>19102015634093</v>
      </c>
      <c r="AB21" t="s">
        <v>94</v>
      </c>
      <c r="AC21" t="s">
        <v>96</v>
      </c>
      <c r="AD21" s="1"/>
      <c r="AE21" t="s">
        <v>97</v>
      </c>
      <c r="AF21" t="s">
        <v>97</v>
      </c>
      <c r="AG21" t="s">
        <v>97</v>
      </c>
      <c r="AH21">
        <v>0</v>
      </c>
      <c r="AI21" t="s">
        <v>94</v>
      </c>
      <c r="AJ21" t="s">
        <v>98</v>
      </c>
      <c r="AK21" t="s">
        <v>99</v>
      </c>
      <c r="AL21" t="s">
        <v>100</v>
      </c>
      <c r="AM21" s="1"/>
      <c r="AN21" t="s">
        <v>101</v>
      </c>
      <c r="AO21" s="1"/>
      <c r="AP21" s="1">
        <v>45930</v>
      </c>
      <c r="AQ21" t="s">
        <v>102</v>
      </c>
      <c r="AR21">
        <v>313.76</v>
      </c>
      <c r="AS21">
        <v>346.16</v>
      </c>
      <c r="AT21">
        <v>0</v>
      </c>
      <c r="AU21">
        <v>0</v>
      </c>
      <c r="AV21">
        <v>659.92</v>
      </c>
      <c r="AW21">
        <v>4686.24</v>
      </c>
      <c r="AX21">
        <v>313.76</v>
      </c>
      <c r="AY21">
        <v>346.16</v>
      </c>
      <c r="AZ21">
        <v>0</v>
      </c>
      <c r="BA21">
        <v>0</v>
      </c>
      <c r="BB21">
        <v>659.92</v>
      </c>
      <c r="BC21">
        <v>4686.24</v>
      </c>
      <c r="BD21" s="1">
        <v>45996</v>
      </c>
      <c r="BE21">
        <v>26</v>
      </c>
      <c r="BF21" t="s">
        <v>163</v>
      </c>
      <c r="BG21">
        <v>4686.24</v>
      </c>
      <c r="BH21">
        <v>4686.24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4686.24</v>
      </c>
      <c r="BQ21">
        <v>4686.24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s">
        <v>164</v>
      </c>
      <c r="CC21">
        <v>0.05</v>
      </c>
      <c r="CD21">
        <v>234.31</v>
      </c>
      <c r="CE21">
        <v>234.31</v>
      </c>
      <c r="CF21" t="s">
        <v>94</v>
      </c>
    </row>
    <row r="22" spans="1:84" x14ac:dyDescent="0.3">
      <c r="A22" s="1">
        <v>46022</v>
      </c>
      <c r="B22">
        <v>202512</v>
      </c>
      <c r="C22">
        <v>3.5</v>
      </c>
      <c r="D22" t="s">
        <v>114</v>
      </c>
      <c r="E22" t="s">
        <v>115</v>
      </c>
      <c r="F22" t="s">
        <v>116</v>
      </c>
      <c r="G22" t="s">
        <v>87</v>
      </c>
      <c r="H22" t="s">
        <v>88</v>
      </c>
      <c r="I22">
        <v>41816681</v>
      </c>
      <c r="J22" t="s">
        <v>117</v>
      </c>
      <c r="K22">
        <v>20611306751</v>
      </c>
      <c r="L22" t="s">
        <v>118</v>
      </c>
      <c r="M22" t="s">
        <v>119</v>
      </c>
      <c r="N22" t="s">
        <v>120</v>
      </c>
      <c r="O22" t="s">
        <v>92</v>
      </c>
      <c r="P22" t="s">
        <v>93</v>
      </c>
      <c r="Q22">
        <v>12</v>
      </c>
      <c r="R22">
        <v>5000</v>
      </c>
      <c r="S22">
        <v>5000</v>
      </c>
      <c r="T22">
        <v>2.7799999999999998E-2</v>
      </c>
      <c r="U22">
        <v>0.3896</v>
      </c>
      <c r="X22" t="s">
        <v>94</v>
      </c>
      <c r="Y22" s="1">
        <v>45926</v>
      </c>
      <c r="Z22" t="s">
        <v>95</v>
      </c>
      <c r="AA22">
        <v>1917094078051</v>
      </c>
      <c r="AB22" t="s">
        <v>94</v>
      </c>
      <c r="AC22" t="s">
        <v>96</v>
      </c>
      <c r="AD22" s="1"/>
      <c r="AE22" t="s">
        <v>97</v>
      </c>
      <c r="AF22" t="s">
        <v>97</v>
      </c>
      <c r="AG22" t="s">
        <v>97</v>
      </c>
      <c r="AH22">
        <v>0</v>
      </c>
      <c r="AI22" t="s">
        <v>94</v>
      </c>
      <c r="AJ22" t="s">
        <v>121</v>
      </c>
      <c r="AK22" t="s">
        <v>122</v>
      </c>
      <c r="AL22" t="s">
        <v>123</v>
      </c>
      <c r="AM22" s="1"/>
      <c r="AN22" t="s">
        <v>101</v>
      </c>
      <c r="AO22" s="1"/>
      <c r="AP22" s="1">
        <v>45930</v>
      </c>
      <c r="AQ22" t="s">
        <v>102</v>
      </c>
      <c r="AR22">
        <v>356.74</v>
      </c>
      <c r="AS22">
        <v>229.03</v>
      </c>
      <c r="AT22">
        <v>0</v>
      </c>
      <c r="AU22">
        <v>0</v>
      </c>
      <c r="AV22">
        <v>585.77</v>
      </c>
      <c r="AW22">
        <v>4643.26</v>
      </c>
      <c r="AX22">
        <v>356.74</v>
      </c>
      <c r="AY22">
        <v>229.03</v>
      </c>
      <c r="AZ22">
        <v>0</v>
      </c>
      <c r="BA22">
        <v>0</v>
      </c>
      <c r="BB22">
        <v>585.77</v>
      </c>
      <c r="BC22">
        <v>4643.26</v>
      </c>
      <c r="BD22" s="1">
        <v>46006</v>
      </c>
      <c r="BE22">
        <v>16</v>
      </c>
      <c r="BF22" t="s">
        <v>163</v>
      </c>
      <c r="BG22">
        <v>4643.26</v>
      </c>
      <c r="BH22">
        <v>4643.26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4643.26</v>
      </c>
      <c r="BQ22">
        <v>4643.26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 t="s">
        <v>164</v>
      </c>
      <c r="CC22">
        <v>0.05</v>
      </c>
      <c r="CD22">
        <v>232.16</v>
      </c>
      <c r="CE22">
        <v>232.16</v>
      </c>
      <c r="CF22" t="s">
        <v>94</v>
      </c>
    </row>
    <row r="23" spans="1:84" x14ac:dyDescent="0.3">
      <c r="A23" s="1">
        <v>46022</v>
      </c>
      <c r="B23">
        <v>202512</v>
      </c>
      <c r="C23">
        <v>3.5</v>
      </c>
      <c r="D23" t="s">
        <v>124</v>
      </c>
      <c r="E23" t="s">
        <v>125</v>
      </c>
      <c r="F23" t="s">
        <v>116</v>
      </c>
      <c r="G23" t="s">
        <v>87</v>
      </c>
      <c r="H23" t="s">
        <v>88</v>
      </c>
      <c r="I23">
        <v>46135290</v>
      </c>
      <c r="J23" t="s">
        <v>126</v>
      </c>
      <c r="K23">
        <v>20603035420</v>
      </c>
      <c r="L23" t="s">
        <v>127</v>
      </c>
      <c r="M23" t="s">
        <v>128</v>
      </c>
      <c r="N23" t="s">
        <v>129</v>
      </c>
      <c r="O23" t="s">
        <v>92</v>
      </c>
      <c r="P23" t="s">
        <v>93</v>
      </c>
      <c r="Q23">
        <v>12</v>
      </c>
      <c r="R23">
        <v>3000</v>
      </c>
      <c r="S23">
        <v>3000</v>
      </c>
      <c r="T23">
        <v>3.3300000000000003E-2</v>
      </c>
      <c r="U23">
        <v>0.48159999999999997</v>
      </c>
      <c r="X23" t="s">
        <v>94</v>
      </c>
      <c r="Y23" s="1">
        <v>45929</v>
      </c>
      <c r="Z23" t="s">
        <v>95</v>
      </c>
      <c r="AA23">
        <v>19190087709084</v>
      </c>
      <c r="AB23" t="s">
        <v>94</v>
      </c>
      <c r="AC23" t="s">
        <v>96</v>
      </c>
      <c r="AD23" s="1"/>
      <c r="AE23" t="s">
        <v>97</v>
      </c>
      <c r="AF23" t="s">
        <v>97</v>
      </c>
      <c r="AG23" t="s">
        <v>97</v>
      </c>
      <c r="AH23">
        <v>0</v>
      </c>
      <c r="AI23" t="s">
        <v>94</v>
      </c>
      <c r="AJ23" t="s">
        <v>130</v>
      </c>
      <c r="AK23" t="s">
        <v>131</v>
      </c>
      <c r="AL23" t="s">
        <v>132</v>
      </c>
      <c r="AM23" s="1"/>
      <c r="AN23" t="s">
        <v>101</v>
      </c>
      <c r="AO23" s="1"/>
      <c r="AP23" s="1">
        <v>45930</v>
      </c>
      <c r="AQ23" t="s">
        <v>102</v>
      </c>
      <c r="AR23">
        <v>207.45</v>
      </c>
      <c r="AS23">
        <v>189.17</v>
      </c>
      <c r="AT23">
        <v>0</v>
      </c>
      <c r="AU23">
        <v>0</v>
      </c>
      <c r="AV23">
        <v>396.62</v>
      </c>
      <c r="AW23">
        <v>2792.55</v>
      </c>
      <c r="AX23">
        <v>207.45</v>
      </c>
      <c r="AY23">
        <v>189.17</v>
      </c>
      <c r="AZ23">
        <v>0</v>
      </c>
      <c r="BA23">
        <v>0</v>
      </c>
      <c r="BB23">
        <v>396.62</v>
      </c>
      <c r="BC23">
        <v>2792.55</v>
      </c>
      <c r="BD23" s="1">
        <v>46016</v>
      </c>
      <c r="BE23">
        <v>6</v>
      </c>
      <c r="BF23" t="s">
        <v>165</v>
      </c>
      <c r="BG23">
        <v>2792.55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2792.55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s">
        <v>104</v>
      </c>
      <c r="CC23">
        <v>0.01</v>
      </c>
      <c r="CD23">
        <v>27.93</v>
      </c>
      <c r="CE23">
        <v>27.93</v>
      </c>
      <c r="CF23" t="s">
        <v>94</v>
      </c>
    </row>
    <row r="24" spans="1:84" x14ac:dyDescent="0.3">
      <c r="A24" s="1">
        <v>46022</v>
      </c>
      <c r="B24">
        <v>202512</v>
      </c>
      <c r="C24">
        <v>3.5</v>
      </c>
      <c r="D24" t="s">
        <v>133</v>
      </c>
      <c r="E24" t="s">
        <v>134</v>
      </c>
      <c r="F24" t="s">
        <v>86</v>
      </c>
      <c r="G24" t="s">
        <v>87</v>
      </c>
      <c r="H24" t="s">
        <v>88</v>
      </c>
      <c r="I24">
        <v>74080162</v>
      </c>
      <c r="J24" t="s">
        <v>135</v>
      </c>
      <c r="K24">
        <v>10740801622</v>
      </c>
      <c r="L24" t="s">
        <v>135</v>
      </c>
      <c r="M24" t="s">
        <v>136</v>
      </c>
      <c r="N24" t="s">
        <v>120</v>
      </c>
      <c r="O24" t="s">
        <v>92</v>
      </c>
      <c r="P24" t="s">
        <v>93</v>
      </c>
      <c r="Q24">
        <v>6</v>
      </c>
      <c r="R24">
        <v>5000</v>
      </c>
      <c r="S24">
        <v>5000</v>
      </c>
      <c r="T24">
        <v>2.58E-2</v>
      </c>
      <c r="U24">
        <v>0.35749999999999998</v>
      </c>
      <c r="X24" t="s">
        <v>94</v>
      </c>
      <c r="Y24" s="1">
        <v>45930</v>
      </c>
      <c r="Z24" t="s">
        <v>137</v>
      </c>
      <c r="AA24">
        <v>3.1260133132857619E+17</v>
      </c>
      <c r="AB24" t="s">
        <v>94</v>
      </c>
      <c r="AC24" t="s">
        <v>96</v>
      </c>
      <c r="AD24" s="1"/>
      <c r="AE24" t="s">
        <v>97</v>
      </c>
      <c r="AF24" t="s">
        <v>97</v>
      </c>
      <c r="AG24" t="s">
        <v>97</v>
      </c>
      <c r="AH24">
        <v>0</v>
      </c>
      <c r="AI24" t="s">
        <v>94</v>
      </c>
      <c r="AJ24" t="s">
        <v>138</v>
      </c>
      <c r="AK24" t="s">
        <v>139</v>
      </c>
      <c r="AL24" t="s">
        <v>140</v>
      </c>
      <c r="AM24" s="1"/>
      <c r="AN24" t="s">
        <v>101</v>
      </c>
      <c r="AO24" s="1"/>
      <c r="AP24" s="1">
        <v>45930</v>
      </c>
      <c r="AQ24" t="s">
        <v>102</v>
      </c>
      <c r="AR24">
        <v>781.18</v>
      </c>
      <c r="AS24">
        <v>239.04</v>
      </c>
      <c r="AT24">
        <v>0</v>
      </c>
      <c r="AU24">
        <v>0</v>
      </c>
      <c r="AV24">
        <v>1020.22</v>
      </c>
      <c r="AW24">
        <v>4218.82</v>
      </c>
      <c r="AX24">
        <v>781.18</v>
      </c>
      <c r="AY24">
        <v>239.04</v>
      </c>
      <c r="AZ24">
        <v>0</v>
      </c>
      <c r="BA24">
        <v>0</v>
      </c>
      <c r="BB24">
        <v>1020.22</v>
      </c>
      <c r="BC24">
        <v>4218.82</v>
      </c>
      <c r="BD24" s="1">
        <v>46016</v>
      </c>
      <c r="BE24">
        <v>6</v>
      </c>
      <c r="BF24" t="s">
        <v>165</v>
      </c>
      <c r="BG24">
        <v>4218.82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4218.82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 t="s">
        <v>104</v>
      </c>
      <c r="CC24">
        <v>0.01</v>
      </c>
      <c r="CD24">
        <v>42.19</v>
      </c>
      <c r="CE24">
        <v>42.19</v>
      </c>
      <c r="CF24" t="s">
        <v>94</v>
      </c>
    </row>
    <row r="25" spans="1:84" x14ac:dyDescent="0.3">
      <c r="A25" s="1">
        <v>46022</v>
      </c>
      <c r="B25">
        <v>202512</v>
      </c>
      <c r="C25">
        <v>3.5</v>
      </c>
      <c r="D25" t="s">
        <v>105</v>
      </c>
      <c r="E25" t="s">
        <v>142</v>
      </c>
      <c r="F25" t="s">
        <v>86</v>
      </c>
      <c r="G25" t="s">
        <v>143</v>
      </c>
      <c r="H25" t="s">
        <v>88</v>
      </c>
      <c r="I25">
        <v>47614102</v>
      </c>
      <c r="J25" t="s">
        <v>107</v>
      </c>
      <c r="K25">
        <v>10476141023</v>
      </c>
      <c r="L25" t="s">
        <v>107</v>
      </c>
      <c r="M25" t="s">
        <v>108</v>
      </c>
      <c r="N25" t="s">
        <v>109</v>
      </c>
      <c r="O25" t="s">
        <v>92</v>
      </c>
      <c r="P25" t="s">
        <v>93</v>
      </c>
      <c r="Q25">
        <v>6</v>
      </c>
      <c r="R25">
        <v>4000</v>
      </c>
      <c r="S25">
        <v>4000</v>
      </c>
      <c r="T25">
        <v>4.65E-2</v>
      </c>
      <c r="U25">
        <v>0.72529999999999994</v>
      </c>
      <c r="X25" t="s">
        <v>94</v>
      </c>
      <c r="Y25" s="1">
        <v>45931</v>
      </c>
      <c r="Z25" t="s">
        <v>95</v>
      </c>
      <c r="AA25">
        <v>57090910922067</v>
      </c>
      <c r="AB25" t="s">
        <v>144</v>
      </c>
      <c r="AC25" t="s">
        <v>96</v>
      </c>
      <c r="AD25" s="1"/>
      <c r="AE25" t="s">
        <v>97</v>
      </c>
      <c r="AF25" t="s">
        <v>97</v>
      </c>
      <c r="AG25" t="s">
        <v>97</v>
      </c>
      <c r="AH25">
        <v>0</v>
      </c>
      <c r="AI25" t="s">
        <v>94</v>
      </c>
      <c r="AJ25" t="s">
        <v>111</v>
      </c>
      <c r="AK25" t="s">
        <v>112</v>
      </c>
      <c r="AL25" t="s">
        <v>113</v>
      </c>
      <c r="AM25" s="1"/>
      <c r="AN25" t="s">
        <v>101</v>
      </c>
      <c r="AO25" s="1"/>
      <c r="AP25" s="1">
        <v>45961</v>
      </c>
      <c r="AQ25" t="s">
        <v>102</v>
      </c>
      <c r="AR25">
        <v>593.27</v>
      </c>
      <c r="AS25">
        <v>275.74</v>
      </c>
      <c r="AT25">
        <v>17.21</v>
      </c>
      <c r="AU25">
        <v>5.16</v>
      </c>
      <c r="AV25">
        <v>891.38</v>
      </c>
      <c r="AW25">
        <v>3406.73</v>
      </c>
      <c r="AX25">
        <v>593.27</v>
      </c>
      <c r="AY25">
        <v>275.74</v>
      </c>
      <c r="AZ25">
        <v>17.21</v>
      </c>
      <c r="BA25">
        <v>5.16</v>
      </c>
      <c r="BB25">
        <v>891.38</v>
      </c>
      <c r="BC25">
        <v>3406.73</v>
      </c>
      <c r="BD25" s="1">
        <v>46006</v>
      </c>
      <c r="BE25">
        <v>16</v>
      </c>
      <c r="BF25" t="s">
        <v>163</v>
      </c>
      <c r="BG25">
        <v>3406.73</v>
      </c>
      <c r="BH25">
        <v>3406.73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3406.73</v>
      </c>
      <c r="BQ25">
        <v>3406.73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s">
        <v>164</v>
      </c>
      <c r="CC25">
        <v>0.05</v>
      </c>
      <c r="CD25">
        <v>170.34</v>
      </c>
      <c r="CE25">
        <v>170.34</v>
      </c>
      <c r="CF25" t="s">
        <v>94</v>
      </c>
    </row>
    <row r="26" spans="1:84" x14ac:dyDescent="0.3">
      <c r="A26" s="1">
        <v>46022</v>
      </c>
      <c r="B26">
        <v>202512</v>
      </c>
      <c r="C26">
        <v>3.5</v>
      </c>
      <c r="D26" t="s">
        <v>145</v>
      </c>
      <c r="E26" t="s">
        <v>146</v>
      </c>
      <c r="F26" t="s">
        <v>86</v>
      </c>
      <c r="G26" t="s">
        <v>87</v>
      </c>
      <c r="H26" t="s">
        <v>88</v>
      </c>
      <c r="I26">
        <v>47550887</v>
      </c>
      <c r="J26" t="s">
        <v>147</v>
      </c>
      <c r="K26">
        <v>10475508870</v>
      </c>
      <c r="L26" t="s">
        <v>147</v>
      </c>
      <c r="M26" t="s">
        <v>148</v>
      </c>
      <c r="N26" t="s">
        <v>149</v>
      </c>
      <c r="O26" t="s">
        <v>92</v>
      </c>
      <c r="P26" t="s">
        <v>93</v>
      </c>
      <c r="Q26">
        <v>10</v>
      </c>
      <c r="R26">
        <v>5000</v>
      </c>
      <c r="S26">
        <v>5000</v>
      </c>
      <c r="T26">
        <v>5.16E-2</v>
      </c>
      <c r="U26">
        <v>0.82899999999999996</v>
      </c>
      <c r="X26" t="s">
        <v>94</v>
      </c>
      <c r="Y26" s="1">
        <v>45957</v>
      </c>
      <c r="Z26" t="s">
        <v>95</v>
      </c>
      <c r="AA26">
        <v>35532284031069</v>
      </c>
      <c r="AB26" t="s">
        <v>94</v>
      </c>
      <c r="AC26" t="s">
        <v>96</v>
      </c>
      <c r="AD26" s="1"/>
      <c r="AE26" t="s">
        <v>97</v>
      </c>
      <c r="AF26" t="s">
        <v>97</v>
      </c>
      <c r="AG26" t="s">
        <v>97</v>
      </c>
      <c r="AH26">
        <v>0</v>
      </c>
      <c r="AI26" t="s">
        <v>94</v>
      </c>
      <c r="AJ26" t="s">
        <v>150</v>
      </c>
      <c r="AK26" t="s">
        <v>151</v>
      </c>
      <c r="AL26" t="s">
        <v>152</v>
      </c>
      <c r="AM26" s="1"/>
      <c r="AN26" t="s">
        <v>101</v>
      </c>
      <c r="AO26" s="1"/>
      <c r="AP26" s="1">
        <v>45961</v>
      </c>
      <c r="AQ26" t="s">
        <v>102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5000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5000</v>
      </c>
      <c r="BD26" s="1">
        <v>45996</v>
      </c>
      <c r="BE26">
        <v>26</v>
      </c>
      <c r="BF26" t="s">
        <v>163</v>
      </c>
      <c r="BG26">
        <v>5000</v>
      </c>
      <c r="BH26">
        <v>5000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5000</v>
      </c>
      <c r="BQ26">
        <v>5000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s">
        <v>164</v>
      </c>
      <c r="CC26">
        <v>0.05</v>
      </c>
      <c r="CD26">
        <v>250</v>
      </c>
      <c r="CE26">
        <v>250</v>
      </c>
      <c r="CF26" t="s">
        <v>94</v>
      </c>
    </row>
    <row r="27" spans="1:84" x14ac:dyDescent="0.3">
      <c r="A27" s="1">
        <v>46022</v>
      </c>
      <c r="B27">
        <v>202512</v>
      </c>
      <c r="C27">
        <v>3.5</v>
      </c>
      <c r="D27" t="s">
        <v>153</v>
      </c>
      <c r="E27" t="s">
        <v>154</v>
      </c>
      <c r="F27" t="s">
        <v>116</v>
      </c>
      <c r="G27" t="s">
        <v>87</v>
      </c>
      <c r="H27" t="s">
        <v>88</v>
      </c>
      <c r="I27">
        <v>43658376</v>
      </c>
      <c r="J27" t="s">
        <v>155</v>
      </c>
      <c r="K27">
        <v>20605815368</v>
      </c>
      <c r="L27" t="s">
        <v>156</v>
      </c>
      <c r="M27" t="s">
        <v>157</v>
      </c>
      <c r="N27" t="s">
        <v>129</v>
      </c>
      <c r="O27" t="s">
        <v>92</v>
      </c>
      <c r="P27" t="s">
        <v>93</v>
      </c>
      <c r="Q27">
        <v>6</v>
      </c>
      <c r="R27">
        <v>5000</v>
      </c>
      <c r="S27">
        <v>5000</v>
      </c>
      <c r="T27">
        <v>3.27E-2</v>
      </c>
      <c r="U27">
        <v>0.4713</v>
      </c>
      <c r="X27" t="s">
        <v>94</v>
      </c>
      <c r="Y27" s="1">
        <v>45985</v>
      </c>
      <c r="Z27" t="s">
        <v>158</v>
      </c>
      <c r="AA27">
        <v>1.1157000200678295E+18</v>
      </c>
      <c r="AB27" t="s">
        <v>94</v>
      </c>
      <c r="AC27" t="s">
        <v>96</v>
      </c>
      <c r="AD27" s="1"/>
      <c r="AE27" t="s">
        <v>97</v>
      </c>
      <c r="AF27" t="s">
        <v>97</v>
      </c>
      <c r="AG27" t="s">
        <v>97</v>
      </c>
      <c r="AH27">
        <v>0</v>
      </c>
      <c r="AI27" t="s">
        <v>94</v>
      </c>
      <c r="AJ27" t="s">
        <v>159</v>
      </c>
      <c r="AK27" t="s">
        <v>160</v>
      </c>
      <c r="AL27" t="s">
        <v>161</v>
      </c>
      <c r="AM27" s="1"/>
      <c r="AN27" t="s">
        <v>162</v>
      </c>
      <c r="AO27" s="1"/>
      <c r="AP27" s="1">
        <v>45991</v>
      </c>
      <c r="AQ27" t="s">
        <v>102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5000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5000</v>
      </c>
      <c r="BD27" s="1">
        <v>46016</v>
      </c>
      <c r="BE27">
        <v>6</v>
      </c>
      <c r="BF27" t="s">
        <v>165</v>
      </c>
      <c r="BG27">
        <v>5000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5000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 t="s">
        <v>104</v>
      </c>
      <c r="CC27">
        <v>0.01</v>
      </c>
      <c r="CD27">
        <v>50</v>
      </c>
      <c r="CE27">
        <v>50</v>
      </c>
      <c r="CF27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9C4D-F8F8-4DF0-9EAB-AEC34D1F2D18}">
  <dimension ref="A1:U62"/>
  <sheetViews>
    <sheetView showGridLines="0" tabSelected="1" zoomScaleNormal="100" workbookViewId="0">
      <selection activeCell="I9" sqref="I9"/>
    </sheetView>
  </sheetViews>
  <sheetFormatPr baseColWidth="10" defaultRowHeight="14.4" x14ac:dyDescent="0.3"/>
  <cols>
    <col min="1" max="1" width="14.44140625" customWidth="1"/>
    <col min="2" max="2" width="16.5546875" bestFit="1" customWidth="1"/>
    <col min="3" max="3" width="13.21875" customWidth="1"/>
    <col min="4" max="6" width="10.88671875" customWidth="1"/>
    <col min="7" max="7" width="5.44140625" bestFit="1" customWidth="1"/>
    <col min="8" max="8" width="16" customWidth="1"/>
    <col min="9" max="11" width="11.5546875" customWidth="1"/>
  </cols>
  <sheetData>
    <row r="1" spans="2:18" x14ac:dyDescent="0.3">
      <c r="C1" s="12">
        <v>45930</v>
      </c>
      <c r="D1" s="12">
        <v>45961</v>
      </c>
      <c r="E1" s="12">
        <v>45991</v>
      </c>
      <c r="F1" s="12">
        <v>46022</v>
      </c>
      <c r="I1" s="12">
        <v>45930</v>
      </c>
      <c r="J1" s="12">
        <v>45961</v>
      </c>
      <c r="K1" s="12">
        <v>45991</v>
      </c>
      <c r="L1" s="12">
        <v>46022</v>
      </c>
    </row>
    <row r="2" spans="2:18" x14ac:dyDescent="0.3">
      <c r="C2" s="16">
        <v>2</v>
      </c>
      <c r="D2" s="16">
        <v>3</v>
      </c>
      <c r="E2" s="16">
        <v>4</v>
      </c>
      <c r="F2" s="16">
        <v>5</v>
      </c>
      <c r="G2" s="16"/>
      <c r="H2" s="16"/>
      <c r="I2" s="16">
        <v>2</v>
      </c>
      <c r="J2" s="16">
        <v>3</v>
      </c>
      <c r="K2" s="16">
        <v>4</v>
      </c>
      <c r="L2" s="16">
        <v>5</v>
      </c>
      <c r="M2" s="16"/>
      <c r="N2" s="17" t="s">
        <v>196</v>
      </c>
    </row>
    <row r="3" spans="2:18" x14ac:dyDescent="0.3">
      <c r="B3" s="2" t="s">
        <v>168</v>
      </c>
      <c r="C3" s="2" t="s">
        <v>167</v>
      </c>
      <c r="H3" s="2" t="s">
        <v>179</v>
      </c>
      <c r="I3" s="2" t="s">
        <v>167</v>
      </c>
      <c r="O3" s="2" t="s">
        <v>167</v>
      </c>
    </row>
    <row r="4" spans="2:18" x14ac:dyDescent="0.3">
      <c r="B4" s="2" t="s">
        <v>166</v>
      </c>
      <c r="C4" s="1">
        <v>45930</v>
      </c>
      <c r="D4" s="1">
        <v>45961</v>
      </c>
      <c r="E4" s="1">
        <v>45991</v>
      </c>
      <c r="F4" s="1">
        <v>46022</v>
      </c>
      <c r="H4" s="2" t="s">
        <v>166</v>
      </c>
      <c r="I4" s="1">
        <v>45930</v>
      </c>
      <c r="J4" s="1">
        <v>45961</v>
      </c>
      <c r="K4" s="1">
        <v>45991</v>
      </c>
      <c r="L4" s="1">
        <v>46022</v>
      </c>
      <c r="N4" s="2" t="s">
        <v>166</v>
      </c>
      <c r="O4" s="1">
        <v>45930</v>
      </c>
      <c r="P4" s="1">
        <v>45961</v>
      </c>
      <c r="Q4" s="1">
        <v>45991</v>
      </c>
      <c r="R4" s="1">
        <v>46022</v>
      </c>
    </row>
    <row r="5" spans="2:18" x14ac:dyDescent="0.3">
      <c r="B5" s="3" t="s">
        <v>103</v>
      </c>
      <c r="C5" s="4">
        <v>200</v>
      </c>
      <c r="D5" s="4">
        <v>270</v>
      </c>
      <c r="E5" s="4">
        <v>297.48</v>
      </c>
      <c r="F5" s="4"/>
      <c r="H5" s="3" t="s">
        <v>103</v>
      </c>
      <c r="I5" s="4">
        <v>20000</v>
      </c>
      <c r="J5" s="4">
        <v>27000</v>
      </c>
      <c r="K5" s="4">
        <v>29747.599999999999</v>
      </c>
      <c r="L5" s="4"/>
      <c r="N5" s="3"/>
      <c r="O5" s="4"/>
      <c r="P5" s="4"/>
      <c r="Q5" s="4"/>
      <c r="R5" s="4"/>
    </row>
    <row r="6" spans="2:18" x14ac:dyDescent="0.3">
      <c r="B6" s="3" t="s">
        <v>165</v>
      </c>
      <c r="C6" s="4"/>
      <c r="D6" s="4"/>
      <c r="E6" s="4"/>
      <c r="F6" s="4">
        <v>120.12</v>
      </c>
      <c r="H6" s="3" t="s">
        <v>165</v>
      </c>
      <c r="I6" s="4"/>
      <c r="J6" s="4"/>
      <c r="K6" s="4"/>
      <c r="L6" s="4">
        <v>12011.369999999999</v>
      </c>
    </row>
    <row r="7" spans="2:18" x14ac:dyDescent="0.3">
      <c r="B7" s="3" t="s">
        <v>163</v>
      </c>
      <c r="C7" s="4"/>
      <c r="D7" s="4"/>
      <c r="E7" s="4"/>
      <c r="F7" s="4">
        <v>886.81000000000006</v>
      </c>
      <c r="H7" s="3" t="s">
        <v>163</v>
      </c>
      <c r="I7" s="4"/>
      <c r="J7" s="4"/>
      <c r="K7" s="4"/>
      <c r="L7" s="4">
        <v>17736.23</v>
      </c>
    </row>
    <row r="8" spans="2:18" x14ac:dyDescent="0.3">
      <c r="B8" s="3"/>
      <c r="C8" s="4"/>
      <c r="D8" s="4"/>
      <c r="E8" s="4"/>
      <c r="F8" s="4"/>
      <c r="H8" s="3"/>
      <c r="I8" s="4"/>
      <c r="J8" s="4"/>
      <c r="K8" s="4"/>
      <c r="L8" s="4"/>
    </row>
    <row r="10" spans="2:18" x14ac:dyDescent="0.3">
      <c r="B10" s="5" t="s">
        <v>181</v>
      </c>
      <c r="C10" s="6"/>
      <c r="D10" s="6"/>
      <c r="E10" s="6"/>
    </row>
    <row r="11" spans="2:18" ht="3" customHeight="1" x14ac:dyDescent="0.3">
      <c r="B11" s="7"/>
      <c r="C11" s="6"/>
      <c r="D11" s="6"/>
      <c r="E11" s="6"/>
    </row>
    <row r="12" spans="2:18" x14ac:dyDescent="0.3">
      <c r="B12" s="8" t="s">
        <v>169</v>
      </c>
      <c r="C12" s="11">
        <f>C4</f>
        <v>45930</v>
      </c>
      <c r="D12" s="11">
        <f t="shared" ref="D12:F12" si="0">D4</f>
        <v>45961</v>
      </c>
      <c r="E12" s="11">
        <f t="shared" si="0"/>
        <v>45991</v>
      </c>
      <c r="F12" s="11">
        <f t="shared" si="0"/>
        <v>46022</v>
      </c>
      <c r="I12" s="2" t="s">
        <v>167</v>
      </c>
    </row>
    <row r="13" spans="2:18" x14ac:dyDescent="0.3">
      <c r="B13" s="9" t="s">
        <v>103</v>
      </c>
      <c r="C13" s="13">
        <f t="shared" ref="C13:F23" si="1">IFERROR(VLOOKUP($B13,$H$1:$L$7,HLOOKUP(C$12,$I$1:$L$2,2,0),0),0)</f>
        <v>20000</v>
      </c>
      <c r="D13" s="13">
        <f t="shared" si="1"/>
        <v>27000</v>
      </c>
      <c r="E13" s="13">
        <f t="shared" si="1"/>
        <v>29747.599999999999</v>
      </c>
      <c r="F13" s="13">
        <f t="shared" si="1"/>
        <v>0</v>
      </c>
      <c r="I13" s="1">
        <v>45930</v>
      </c>
      <c r="J13" s="1">
        <v>45961</v>
      </c>
      <c r="K13" s="1">
        <v>45991</v>
      </c>
      <c r="L13" s="1">
        <v>46022</v>
      </c>
    </row>
    <row r="14" spans="2:18" x14ac:dyDescent="0.3">
      <c r="B14" s="9" t="s">
        <v>165</v>
      </c>
      <c r="C14" s="13">
        <f t="shared" si="1"/>
        <v>0</v>
      </c>
      <c r="D14" s="13">
        <f t="shared" si="1"/>
        <v>0</v>
      </c>
      <c r="E14" s="13">
        <f t="shared" si="1"/>
        <v>0</v>
      </c>
      <c r="F14" s="13">
        <f t="shared" si="1"/>
        <v>12011.369999999999</v>
      </c>
      <c r="H14" t="s">
        <v>197</v>
      </c>
      <c r="I14" s="4">
        <v>0</v>
      </c>
      <c r="J14" s="4">
        <v>0</v>
      </c>
      <c r="K14" s="4">
        <v>0</v>
      </c>
      <c r="L14" s="4">
        <v>0</v>
      </c>
    </row>
    <row r="15" spans="2:18" x14ac:dyDescent="0.3">
      <c r="B15" s="7" t="s">
        <v>163</v>
      </c>
      <c r="C15" s="13">
        <f t="shared" si="1"/>
        <v>0</v>
      </c>
      <c r="D15" s="13">
        <f t="shared" si="1"/>
        <v>0</v>
      </c>
      <c r="E15" s="13">
        <f t="shared" si="1"/>
        <v>0</v>
      </c>
      <c r="F15" s="13">
        <f t="shared" si="1"/>
        <v>17736.23</v>
      </c>
    </row>
    <row r="16" spans="2:18" x14ac:dyDescent="0.3">
      <c r="B16" s="7" t="s">
        <v>170</v>
      </c>
      <c r="C16" s="13">
        <f t="shared" si="1"/>
        <v>0</v>
      </c>
      <c r="D16" s="13">
        <f t="shared" si="1"/>
        <v>0</v>
      </c>
      <c r="E16" s="13">
        <f t="shared" si="1"/>
        <v>0</v>
      </c>
      <c r="F16" s="13">
        <f t="shared" si="1"/>
        <v>0</v>
      </c>
    </row>
    <row r="17" spans="1:12" x14ac:dyDescent="0.3">
      <c r="B17" s="7" t="s">
        <v>171</v>
      </c>
      <c r="C17" s="13">
        <f t="shared" si="1"/>
        <v>0</v>
      </c>
      <c r="D17" s="13">
        <f t="shared" si="1"/>
        <v>0</v>
      </c>
      <c r="E17" s="13">
        <f t="shared" si="1"/>
        <v>0</v>
      </c>
      <c r="F17" s="13">
        <f t="shared" si="1"/>
        <v>0</v>
      </c>
      <c r="I17" s="2" t="s">
        <v>167</v>
      </c>
    </row>
    <row r="18" spans="1:12" x14ac:dyDescent="0.3">
      <c r="B18" s="7" t="s">
        <v>172</v>
      </c>
      <c r="C18" s="13">
        <f t="shared" si="1"/>
        <v>0</v>
      </c>
      <c r="D18" s="13">
        <f t="shared" si="1"/>
        <v>0</v>
      </c>
      <c r="E18" s="13">
        <f t="shared" si="1"/>
        <v>0</v>
      </c>
      <c r="F18" s="13">
        <f t="shared" si="1"/>
        <v>0</v>
      </c>
      <c r="I18" s="1">
        <v>45930</v>
      </c>
      <c r="J18" s="1">
        <v>45961</v>
      </c>
      <c r="K18" s="1">
        <v>45991</v>
      </c>
      <c r="L18" s="1">
        <v>46022</v>
      </c>
    </row>
    <row r="19" spans="1:12" x14ac:dyDescent="0.3">
      <c r="B19" s="7" t="s">
        <v>173</v>
      </c>
      <c r="C19" s="13">
        <f t="shared" si="1"/>
        <v>0</v>
      </c>
      <c r="D19" s="13">
        <f t="shared" si="1"/>
        <v>0</v>
      </c>
      <c r="E19" s="13">
        <f t="shared" si="1"/>
        <v>0</v>
      </c>
      <c r="F19" s="13">
        <f t="shared" si="1"/>
        <v>0</v>
      </c>
      <c r="H19" t="s">
        <v>198</v>
      </c>
      <c r="I19" s="4">
        <v>0</v>
      </c>
      <c r="J19" s="4">
        <v>0</v>
      </c>
      <c r="K19" s="4">
        <v>0</v>
      </c>
      <c r="L19" s="4">
        <v>0</v>
      </c>
    </row>
    <row r="20" spans="1:12" x14ac:dyDescent="0.3">
      <c r="B20" s="7" t="s">
        <v>174</v>
      </c>
      <c r="C20" s="13">
        <f t="shared" si="1"/>
        <v>0</v>
      </c>
      <c r="D20" s="13">
        <f t="shared" si="1"/>
        <v>0</v>
      </c>
      <c r="E20" s="13">
        <f t="shared" si="1"/>
        <v>0</v>
      </c>
      <c r="F20" s="13">
        <f t="shared" si="1"/>
        <v>0</v>
      </c>
    </row>
    <row r="21" spans="1:12" x14ac:dyDescent="0.3">
      <c r="B21" s="7" t="s">
        <v>175</v>
      </c>
      <c r="C21" s="13">
        <f t="shared" si="1"/>
        <v>0</v>
      </c>
      <c r="D21" s="13">
        <f t="shared" si="1"/>
        <v>0</v>
      </c>
      <c r="E21" s="13">
        <f t="shared" si="1"/>
        <v>0</v>
      </c>
      <c r="F21" s="13">
        <f t="shared" si="1"/>
        <v>0</v>
      </c>
    </row>
    <row r="22" spans="1:12" x14ac:dyDescent="0.3">
      <c r="B22" s="7" t="s">
        <v>176</v>
      </c>
      <c r="C22" s="13">
        <f t="shared" si="1"/>
        <v>0</v>
      </c>
      <c r="D22" s="13">
        <f t="shared" si="1"/>
        <v>0</v>
      </c>
      <c r="E22" s="13">
        <f t="shared" si="1"/>
        <v>0</v>
      </c>
      <c r="F22" s="13">
        <f t="shared" si="1"/>
        <v>0</v>
      </c>
    </row>
    <row r="23" spans="1:12" x14ac:dyDescent="0.3">
      <c r="B23" s="7" t="s">
        <v>177</v>
      </c>
      <c r="C23" s="13">
        <f t="shared" si="1"/>
        <v>0</v>
      </c>
      <c r="D23" s="13">
        <f t="shared" si="1"/>
        <v>0</v>
      </c>
      <c r="E23" s="13">
        <f t="shared" si="1"/>
        <v>0</v>
      </c>
      <c r="F23" s="13">
        <f t="shared" si="1"/>
        <v>0</v>
      </c>
    </row>
    <row r="24" spans="1:12" x14ac:dyDescent="0.3">
      <c r="B24" s="10" t="s">
        <v>178</v>
      </c>
      <c r="C24" s="14">
        <f>SUM(C13:C23)</f>
        <v>20000</v>
      </c>
      <c r="D24" s="14">
        <f t="shared" ref="D24" si="2">SUM(D13:D23)</f>
        <v>27000</v>
      </c>
      <c r="E24" s="14">
        <f t="shared" ref="E24" si="3">SUM(E13:E23)</f>
        <v>29747.599999999999</v>
      </c>
      <c r="F24" s="14">
        <f t="shared" ref="F24" si="4">SUM(F13:F23)</f>
        <v>29747.599999999999</v>
      </c>
    </row>
    <row r="26" spans="1:12" x14ac:dyDescent="0.3">
      <c r="B26" s="5" t="s">
        <v>180</v>
      </c>
      <c r="C26" s="6"/>
      <c r="D26" s="6"/>
      <c r="E26" s="6"/>
    </row>
    <row r="27" spans="1:12" ht="3" customHeight="1" x14ac:dyDescent="0.3">
      <c r="B27" s="7"/>
      <c r="C27" s="6"/>
      <c r="D27" s="6"/>
      <c r="E27" s="6"/>
    </row>
    <row r="28" spans="1:12" x14ac:dyDescent="0.3">
      <c r="B28" s="8" t="s">
        <v>169</v>
      </c>
      <c r="C28" s="11">
        <f>C4</f>
        <v>45930</v>
      </c>
      <c r="D28" s="11">
        <f t="shared" ref="D28:F28" si="5">D4</f>
        <v>45961</v>
      </c>
      <c r="E28" s="11">
        <f t="shared" si="5"/>
        <v>45991</v>
      </c>
      <c r="F28" s="11">
        <f t="shared" si="5"/>
        <v>46022</v>
      </c>
    </row>
    <row r="29" spans="1:12" x14ac:dyDescent="0.3">
      <c r="A29" s="15">
        <v>0.01</v>
      </c>
      <c r="B29" s="9" t="s">
        <v>103</v>
      </c>
      <c r="C29" s="13">
        <f t="shared" ref="C29:F39" si="6">IFERROR(VLOOKUP($B29,$B$1:$F$7,HLOOKUP(C$28,$C$1:$F$2,2,0),0),0)</f>
        <v>200</v>
      </c>
      <c r="D29" s="13">
        <f t="shared" si="6"/>
        <v>270</v>
      </c>
      <c r="E29" s="13">
        <f t="shared" si="6"/>
        <v>297.48</v>
      </c>
      <c r="F29" s="13">
        <f t="shared" si="6"/>
        <v>0</v>
      </c>
    </row>
    <row r="30" spans="1:12" x14ac:dyDescent="0.3">
      <c r="A30" s="15">
        <v>0.01</v>
      </c>
      <c r="B30" s="9" t="s">
        <v>165</v>
      </c>
      <c r="C30" s="13">
        <f t="shared" si="6"/>
        <v>0</v>
      </c>
      <c r="D30" s="13">
        <f t="shared" si="6"/>
        <v>0</v>
      </c>
      <c r="E30" s="13">
        <f t="shared" si="6"/>
        <v>0</v>
      </c>
      <c r="F30" s="13">
        <f t="shared" si="6"/>
        <v>120.12</v>
      </c>
    </row>
    <row r="31" spans="1:12" x14ac:dyDescent="0.3">
      <c r="A31" s="15">
        <v>0.05</v>
      </c>
      <c r="B31" s="7" t="s">
        <v>163</v>
      </c>
      <c r="C31" s="13">
        <f t="shared" si="6"/>
        <v>0</v>
      </c>
      <c r="D31" s="13">
        <f t="shared" si="6"/>
        <v>0</v>
      </c>
      <c r="E31" s="13">
        <f t="shared" si="6"/>
        <v>0</v>
      </c>
      <c r="F31" s="13">
        <f t="shared" si="6"/>
        <v>886.81000000000006</v>
      </c>
    </row>
    <row r="32" spans="1:12" x14ac:dyDescent="0.3">
      <c r="A32" s="15">
        <v>0.25</v>
      </c>
      <c r="B32" s="7" t="s">
        <v>170</v>
      </c>
      <c r="C32" s="13">
        <f t="shared" si="6"/>
        <v>0</v>
      </c>
      <c r="D32" s="13">
        <f t="shared" si="6"/>
        <v>0</v>
      </c>
      <c r="E32" s="13">
        <f t="shared" si="6"/>
        <v>0</v>
      </c>
      <c r="F32" s="13">
        <f t="shared" si="6"/>
        <v>0</v>
      </c>
    </row>
    <row r="33" spans="1:21" x14ac:dyDescent="0.3">
      <c r="A33" s="15">
        <v>0.6</v>
      </c>
      <c r="B33" s="7" t="s">
        <v>171</v>
      </c>
      <c r="C33" s="13">
        <f t="shared" si="6"/>
        <v>0</v>
      </c>
      <c r="D33" s="13">
        <f t="shared" si="6"/>
        <v>0</v>
      </c>
      <c r="E33" s="13">
        <f t="shared" si="6"/>
        <v>0</v>
      </c>
      <c r="F33" s="13">
        <f t="shared" si="6"/>
        <v>0</v>
      </c>
    </row>
    <row r="34" spans="1:21" x14ac:dyDescent="0.3">
      <c r="A34" s="15">
        <v>0.6</v>
      </c>
      <c r="B34" s="7" t="s">
        <v>172</v>
      </c>
      <c r="C34" s="13">
        <f t="shared" si="6"/>
        <v>0</v>
      </c>
      <c r="D34" s="13">
        <f t="shared" si="6"/>
        <v>0</v>
      </c>
      <c r="E34" s="13">
        <f t="shared" si="6"/>
        <v>0</v>
      </c>
      <c r="F34" s="13">
        <f t="shared" si="6"/>
        <v>0</v>
      </c>
    </row>
    <row r="35" spans="1:21" x14ac:dyDescent="0.3">
      <c r="A35" s="15">
        <v>1</v>
      </c>
      <c r="B35" s="7" t="s">
        <v>173</v>
      </c>
      <c r="C35" s="13">
        <f t="shared" si="6"/>
        <v>0</v>
      </c>
      <c r="D35" s="13">
        <f t="shared" si="6"/>
        <v>0</v>
      </c>
      <c r="E35" s="13">
        <f t="shared" si="6"/>
        <v>0</v>
      </c>
      <c r="F35" s="13">
        <f t="shared" si="6"/>
        <v>0</v>
      </c>
    </row>
    <row r="36" spans="1:21" x14ac:dyDescent="0.3">
      <c r="A36" s="15">
        <v>1</v>
      </c>
      <c r="B36" s="7" t="s">
        <v>174</v>
      </c>
      <c r="C36" s="13">
        <f t="shared" si="6"/>
        <v>0</v>
      </c>
      <c r="D36" s="13">
        <f t="shared" si="6"/>
        <v>0</v>
      </c>
      <c r="E36" s="13">
        <f t="shared" si="6"/>
        <v>0</v>
      </c>
      <c r="F36" s="13">
        <f t="shared" si="6"/>
        <v>0</v>
      </c>
    </row>
    <row r="37" spans="1:21" x14ac:dyDescent="0.3">
      <c r="A37" s="15">
        <v>1</v>
      </c>
      <c r="B37" s="7" t="s">
        <v>175</v>
      </c>
      <c r="C37" s="13">
        <f t="shared" si="6"/>
        <v>0</v>
      </c>
      <c r="D37" s="13">
        <f t="shared" si="6"/>
        <v>0</v>
      </c>
      <c r="E37" s="13">
        <f t="shared" si="6"/>
        <v>0</v>
      </c>
      <c r="F37" s="13">
        <f t="shared" si="6"/>
        <v>0</v>
      </c>
    </row>
    <row r="38" spans="1:21" x14ac:dyDescent="0.3">
      <c r="A38" s="15">
        <v>1</v>
      </c>
      <c r="B38" s="7" t="s">
        <v>176</v>
      </c>
      <c r="C38" s="13">
        <f t="shared" si="6"/>
        <v>0</v>
      </c>
      <c r="D38" s="13">
        <f t="shared" si="6"/>
        <v>0</v>
      </c>
      <c r="E38" s="13">
        <f t="shared" si="6"/>
        <v>0</v>
      </c>
      <c r="F38" s="13">
        <f t="shared" si="6"/>
        <v>0</v>
      </c>
    </row>
    <row r="39" spans="1:21" x14ac:dyDescent="0.3">
      <c r="A39" s="15">
        <v>1</v>
      </c>
      <c r="B39" s="7" t="s">
        <v>177</v>
      </c>
      <c r="C39" s="13">
        <f t="shared" si="6"/>
        <v>0</v>
      </c>
      <c r="D39" s="13">
        <f t="shared" si="6"/>
        <v>0</v>
      </c>
      <c r="E39" s="13">
        <f t="shared" si="6"/>
        <v>0</v>
      </c>
      <c r="F39" s="13">
        <f t="shared" si="6"/>
        <v>0</v>
      </c>
    </row>
    <row r="40" spans="1:21" x14ac:dyDescent="0.3">
      <c r="B40" s="10" t="s">
        <v>178</v>
      </c>
      <c r="C40" s="14">
        <f>SUM(C29:C39)</f>
        <v>200</v>
      </c>
      <c r="D40" s="14">
        <f t="shared" ref="D40:F40" si="7">SUM(D29:D39)</f>
        <v>270</v>
      </c>
      <c r="E40" s="14">
        <f t="shared" si="7"/>
        <v>297.48</v>
      </c>
      <c r="F40" s="14">
        <f t="shared" si="7"/>
        <v>1006.9300000000001</v>
      </c>
    </row>
    <row r="41" spans="1:21" x14ac:dyDescent="0.3">
      <c r="B41" s="30"/>
      <c r="C41" s="31"/>
      <c r="D41" s="31"/>
      <c r="E41" s="31"/>
      <c r="F41" s="31"/>
      <c r="H41" s="30"/>
      <c r="I41" s="31"/>
      <c r="J41" s="31"/>
      <c r="K41" s="31"/>
      <c r="L41" s="31"/>
    </row>
    <row r="42" spans="1:21" x14ac:dyDescent="0.3">
      <c r="B42" s="30"/>
      <c r="C42" s="31"/>
      <c r="D42" s="31"/>
      <c r="E42" s="31"/>
      <c r="F42" s="31"/>
      <c r="H42" s="30"/>
      <c r="I42" s="31"/>
      <c r="J42" s="31"/>
      <c r="K42" s="31"/>
      <c r="L42" s="31"/>
    </row>
    <row r="43" spans="1:21" x14ac:dyDescent="0.3">
      <c r="B43" s="30"/>
      <c r="C43" s="31"/>
      <c r="D43" s="31"/>
      <c r="E43" s="31"/>
      <c r="F43" s="31"/>
      <c r="H43" s="30"/>
      <c r="I43" s="31"/>
      <c r="J43" s="31"/>
      <c r="K43" s="31"/>
      <c r="L43" s="31"/>
    </row>
    <row r="45" spans="1:21" x14ac:dyDescent="0.3">
      <c r="C45" s="11">
        <f>C4</f>
        <v>45930</v>
      </c>
      <c r="D45" s="11">
        <f t="shared" ref="D45:F45" si="8">D4</f>
        <v>45961</v>
      </c>
      <c r="E45" s="11">
        <f t="shared" si="8"/>
        <v>45991</v>
      </c>
      <c r="F45" s="11">
        <f t="shared" si="8"/>
        <v>46022</v>
      </c>
      <c r="U45" s="29"/>
    </row>
    <row r="46" spans="1:21" x14ac:dyDescent="0.3">
      <c r="B46" s="18" t="s">
        <v>182</v>
      </c>
      <c r="C46" s="32">
        <f>C40-0</f>
        <v>200</v>
      </c>
      <c r="D46" s="32">
        <f>D40-C40</f>
        <v>70</v>
      </c>
      <c r="E46" s="32">
        <f t="shared" ref="E46:F46" si="9">E40-D40</f>
        <v>27.480000000000018</v>
      </c>
      <c r="F46" s="32">
        <f t="shared" si="9"/>
        <v>709.45</v>
      </c>
      <c r="U46" s="29"/>
    </row>
    <row r="47" spans="1:21" x14ac:dyDescent="0.3">
      <c r="B47" s="19" t="s">
        <v>183</v>
      </c>
      <c r="C47" s="33">
        <v>0</v>
      </c>
      <c r="D47" s="33">
        <v>0</v>
      </c>
      <c r="E47" s="33">
        <v>0</v>
      </c>
      <c r="F47" s="33">
        <v>0</v>
      </c>
      <c r="U47" s="29"/>
    </row>
    <row r="48" spans="1:21" x14ac:dyDescent="0.3">
      <c r="B48" s="20" t="s">
        <v>184</v>
      </c>
      <c r="C48" s="34">
        <f>SUM(C47,C40)</f>
        <v>200</v>
      </c>
      <c r="D48" s="34">
        <f t="shared" ref="D48:F48" si="10">SUM(D47,D40)</f>
        <v>270</v>
      </c>
      <c r="E48" s="34">
        <f t="shared" si="10"/>
        <v>297.48</v>
      </c>
      <c r="F48" s="34">
        <f t="shared" si="10"/>
        <v>1006.9300000000001</v>
      </c>
      <c r="U48" s="29"/>
    </row>
    <row r="49" spans="2:21" x14ac:dyDescent="0.3">
      <c r="B49" s="21" t="s">
        <v>185</v>
      </c>
      <c r="C49" s="35">
        <f>SUM(C47+C46)</f>
        <v>200</v>
      </c>
      <c r="D49" s="35">
        <f t="shared" ref="D49:F49" si="11">SUM(D47+D46)</f>
        <v>70</v>
      </c>
      <c r="E49" s="35">
        <f t="shared" si="11"/>
        <v>27.480000000000018</v>
      </c>
      <c r="F49" s="35">
        <f t="shared" si="11"/>
        <v>709.45</v>
      </c>
      <c r="U49" s="29"/>
    </row>
    <row r="50" spans="2:21" x14ac:dyDescent="0.3">
      <c r="B50" s="22" t="s">
        <v>186</v>
      </c>
      <c r="C50" s="36">
        <f>SUM(C49)</f>
        <v>200</v>
      </c>
      <c r="D50" s="36">
        <f>SUM(C49:D49)</f>
        <v>270</v>
      </c>
      <c r="E50" s="36">
        <f>SUM(C49:E49)</f>
        <v>297.48</v>
      </c>
      <c r="F50" s="36">
        <f>SUM(C49:F49)</f>
        <v>1006.9300000000001</v>
      </c>
      <c r="U50" s="29"/>
    </row>
    <row r="51" spans="2:21" x14ac:dyDescent="0.3">
      <c r="B51" s="6"/>
      <c r="C51" s="37"/>
      <c r="D51" s="37"/>
      <c r="E51" s="37"/>
      <c r="F51" s="37"/>
      <c r="U51" s="29"/>
    </row>
    <row r="52" spans="2:21" x14ac:dyDescent="0.3">
      <c r="B52" s="23" t="s">
        <v>187</v>
      </c>
      <c r="C52" s="38">
        <f>C40/C24</f>
        <v>0.01</v>
      </c>
      <c r="D52" s="38">
        <f t="shared" ref="D52:F52" si="12">D40/D24</f>
        <v>0.01</v>
      </c>
      <c r="E52" s="38">
        <f t="shared" si="12"/>
        <v>1.0000134464629081E-2</v>
      </c>
      <c r="F52" s="38">
        <f t="shared" si="12"/>
        <v>3.3849117239710097E-2</v>
      </c>
      <c r="U52" s="29"/>
    </row>
    <row r="53" spans="2:21" x14ac:dyDescent="0.3">
      <c r="B53" s="24" t="s">
        <v>188</v>
      </c>
      <c r="C53" s="39">
        <f>C48/C24</f>
        <v>0.01</v>
      </c>
      <c r="D53" s="39">
        <f t="shared" ref="D53:F53" si="13">D48/D24</f>
        <v>0.01</v>
      </c>
      <c r="E53" s="39">
        <f t="shared" si="13"/>
        <v>1.0000134464629081E-2</v>
      </c>
      <c r="F53" s="39">
        <f t="shared" si="13"/>
        <v>3.3849117239710097E-2</v>
      </c>
      <c r="U53" s="29"/>
    </row>
    <row r="54" spans="2:21" x14ac:dyDescent="0.3">
      <c r="B54" s="25" t="s">
        <v>189</v>
      </c>
      <c r="C54" s="40"/>
      <c r="D54" s="40"/>
      <c r="E54" s="40"/>
      <c r="F54" s="40"/>
      <c r="U54" s="29"/>
    </row>
    <row r="55" spans="2:21" x14ac:dyDescent="0.3">
      <c r="B55" s="25" t="s">
        <v>190</v>
      </c>
      <c r="C55" s="41"/>
      <c r="D55" s="41"/>
      <c r="E55" s="41"/>
      <c r="F55" s="41"/>
      <c r="U55" s="29"/>
    </row>
    <row r="56" spans="2:21" x14ac:dyDescent="0.3">
      <c r="B56" s="25" t="s">
        <v>191</v>
      </c>
      <c r="C56" s="41"/>
      <c r="D56" s="41"/>
      <c r="E56" s="41"/>
      <c r="F56" s="41"/>
      <c r="U56" s="29"/>
    </row>
    <row r="57" spans="2:21" x14ac:dyDescent="0.3">
      <c r="B57" s="25" t="s">
        <v>192</v>
      </c>
      <c r="D57" s="41"/>
      <c r="E57" s="41"/>
      <c r="F57" s="41"/>
      <c r="U57" s="29"/>
    </row>
    <row r="58" spans="2:21" x14ac:dyDescent="0.3">
      <c r="B58" s="26" t="s">
        <v>193</v>
      </c>
      <c r="C58" s="41"/>
      <c r="D58" s="42"/>
      <c r="E58" s="42"/>
      <c r="F58" s="42"/>
      <c r="U58" s="29"/>
    </row>
    <row r="59" spans="2:21" x14ac:dyDescent="0.3">
      <c r="B59" s="27" t="s">
        <v>194</v>
      </c>
      <c r="C59" s="43"/>
      <c r="D59" s="43"/>
      <c r="E59" s="43"/>
      <c r="F59" s="43"/>
      <c r="U59" s="29"/>
    </row>
    <row r="60" spans="2:21" x14ac:dyDescent="0.3">
      <c r="B60" s="28" t="s">
        <v>195</v>
      </c>
      <c r="C60" s="44"/>
      <c r="D60" s="44"/>
      <c r="E60" s="44"/>
      <c r="F60" s="44"/>
      <c r="U60" s="29"/>
    </row>
    <row r="61" spans="2:21" x14ac:dyDescent="0.3">
      <c r="C61" s="17"/>
      <c r="D61" s="17"/>
      <c r="E61" s="17"/>
      <c r="F61" s="17"/>
      <c r="U61" s="29"/>
    </row>
    <row r="62" spans="2:21" x14ac:dyDescent="0.3">
      <c r="C62" s="17"/>
      <c r="D62" s="17"/>
      <c r="E62" s="17"/>
      <c r="F62" s="17"/>
    </row>
  </sheetData>
  <pageMargins left="0.7" right="0.7" top="0.75" bottom="0.75" header="0.3" footer="0.3"/>
  <pageSetup orientation="portrait" r:id="rId6"/>
  <drawing r:id="rId7"/>
  <legacyDrawing r:id="rId8"/>
  <extLst>
    <ext xmlns:x15="http://schemas.microsoft.com/office/spreadsheetml/2010/11/main" uri="{7E03D99C-DC04-49d9-9315-930204A7B6E9}">
      <x15:timelineRefs>
        <x15:timelineRef r:id="rId9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67292-050E-499D-939E-3C9A0F2BBC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portafolio_lending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prestamype27 P2P Finance</dc:creator>
  <cp:lastModifiedBy>prestamype27 P2P Finance</cp:lastModifiedBy>
  <cp:lastPrinted>2025-11-27T23:03:46Z</cp:lastPrinted>
  <dcterms:created xsi:type="dcterms:W3CDTF">2025-11-27T22:04:33Z</dcterms:created>
  <dcterms:modified xsi:type="dcterms:W3CDTF">2025-11-28T22:34:58Z</dcterms:modified>
</cp:coreProperties>
</file>